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6522\Desktop\新建文件夹 (2)\"/>
    </mc:Choice>
  </mc:AlternateContent>
  <xr:revisionPtr revIDLastSave="0" documentId="13_ncr:1_{865176F8-6B37-4531-8C30-954E40C2E7A8}" xr6:coauthVersionLast="47" xr6:coauthVersionMax="47" xr10:uidLastSave="{00000000-0000-0000-0000-000000000000}"/>
  <bookViews>
    <workbookView xWindow="-108" yWindow="-108" windowWidth="23256" windowHeight="13176" tabRatio="59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I28" i="1" s="1"/>
  <c r="F27" i="1"/>
  <c r="I27" i="1" s="1"/>
  <c r="F26" i="1"/>
  <c r="H26" i="1" s="1"/>
  <c r="F25" i="1"/>
  <c r="I25" i="1" s="1"/>
  <c r="F24" i="1"/>
  <c r="I24" i="1" s="1"/>
  <c r="F23" i="1"/>
  <c r="I23" i="1" s="1"/>
  <c r="F22" i="1"/>
  <c r="F21" i="1"/>
  <c r="I21" i="1" s="1"/>
  <c r="F20" i="1"/>
  <c r="I20" i="1" s="1"/>
  <c r="F19" i="1"/>
  <c r="I19" i="1" s="1"/>
  <c r="F18" i="1"/>
  <c r="H18" i="1" s="1"/>
  <c r="F17" i="1"/>
  <c r="I17" i="1" s="1"/>
  <c r="F16" i="1"/>
  <c r="I16" i="1" s="1"/>
  <c r="F15" i="1"/>
  <c r="I15" i="1" s="1"/>
  <c r="F14" i="1"/>
  <c r="I14" i="1" s="1"/>
  <c r="F13" i="1"/>
  <c r="I13" i="1" s="1"/>
  <c r="F12" i="1"/>
  <c r="I12" i="1" s="1"/>
  <c r="F11" i="1"/>
  <c r="I11" i="1" s="1"/>
  <c r="F10" i="1"/>
  <c r="F9" i="1"/>
  <c r="I9" i="1" s="1"/>
  <c r="F8" i="1"/>
  <c r="I8" i="1" s="1"/>
  <c r="F7" i="1"/>
  <c r="I7" i="1" s="1"/>
  <c r="F6" i="1"/>
  <c r="I6" i="1" s="1"/>
  <c r="F5" i="1"/>
  <c r="I5" i="1" s="1"/>
  <c r="F4" i="1"/>
  <c r="I4" i="1" s="1"/>
  <c r="F3" i="1"/>
  <c r="I3" i="1" s="1"/>
  <c r="F2" i="1"/>
  <c r="H22" i="1" l="1"/>
  <c r="H20" i="1"/>
  <c r="H15" i="1"/>
  <c r="H10" i="1"/>
  <c r="H6" i="1"/>
  <c r="H3" i="1"/>
  <c r="I10" i="1"/>
  <c r="I22" i="1"/>
  <c r="I26" i="1"/>
  <c r="H11" i="1"/>
  <c r="H7" i="1"/>
  <c r="H8" i="1"/>
  <c r="H14" i="1"/>
  <c r="H16" i="1"/>
  <c r="I18" i="1"/>
  <c r="H5" i="1"/>
  <c r="H19" i="1"/>
  <c r="H9" i="1"/>
  <c r="H12" i="1"/>
  <c r="H2" i="1"/>
  <c r="I2" i="1"/>
  <c r="H4" i="1"/>
  <c r="H21" i="1"/>
  <c r="H17" i="1"/>
  <c r="H23" i="1"/>
  <c r="H27" i="1"/>
  <c r="H13" i="1"/>
  <c r="H24" i="1"/>
  <c r="H28" i="1"/>
  <c r="H25" i="1"/>
</calcChain>
</file>

<file path=xl/sharedStrings.xml><?xml version="1.0" encoding="utf-8"?>
<sst xmlns="http://schemas.openxmlformats.org/spreadsheetml/2006/main" count="72" uniqueCount="70">
  <si>
    <t>序号</t>
  </si>
  <si>
    <t>单位</t>
  </si>
  <si>
    <t>教师数</t>
  </si>
  <si>
    <t>管理岗人数</t>
  </si>
  <si>
    <t>拟合数
（参数1）</t>
  </si>
  <si>
    <t>拟合数
（参数2）</t>
  </si>
  <si>
    <t>吻合度</t>
  </si>
  <si>
    <t>差额</t>
  </si>
  <si>
    <t>本+研+师+是否公课_预测</t>
  </si>
  <si>
    <t>本+研+师+是否公课_差值</t>
  </si>
  <si>
    <t>土木工程学院</t>
  </si>
  <si>
    <t>测绘与地理信息学院</t>
  </si>
  <si>
    <t>建筑与城市规划学院</t>
  </si>
  <si>
    <t>经济与管理学院</t>
  </si>
  <si>
    <t>机械工程与机器人学院</t>
  </si>
  <si>
    <t>环境科学与工程学院，联合国环境规划署-同济大学环境与可持续发展学院</t>
  </si>
  <si>
    <t>电子与信息工程学院</t>
  </si>
  <si>
    <t>材料科学与工程学院</t>
  </si>
  <si>
    <t>计算机科学与技术学院</t>
  </si>
  <si>
    <t>数学科学学院</t>
  </si>
  <si>
    <t>物理科学与工程学院</t>
  </si>
  <si>
    <t>化学科学与工程学院</t>
  </si>
  <si>
    <t>海洋与地球科学学院</t>
  </si>
  <si>
    <t>航空航天与力学学院</t>
  </si>
  <si>
    <t>交通学院</t>
  </si>
  <si>
    <t>汽车与能源学院</t>
  </si>
  <si>
    <t>医学院</t>
  </si>
  <si>
    <t>生命科学与技术学院</t>
  </si>
  <si>
    <t>外国语学院</t>
  </si>
  <si>
    <t>国际文化交流学院</t>
  </si>
  <si>
    <t>设计创意学院</t>
  </si>
  <si>
    <t>艺术与传媒学院</t>
  </si>
  <si>
    <t>人文学院</t>
  </si>
  <si>
    <t>政治与国际关系学院</t>
  </si>
  <si>
    <t>法学院</t>
  </si>
  <si>
    <t>马克思主义学院</t>
  </si>
  <si>
    <t>体育部</t>
  </si>
  <si>
    <t>正科</t>
    <phoneticPr fontId="11" type="noConversion"/>
  </si>
  <si>
    <t>副科</t>
    <phoneticPr fontId="11" type="noConversion"/>
  </si>
  <si>
    <t>科级以下</t>
    <phoneticPr fontId="11" type="noConversion"/>
  </si>
  <si>
    <t>组织员人数</t>
    <phoneticPr fontId="11" type="noConversion"/>
  </si>
  <si>
    <t>中德工程学院，职业技术教育学院</t>
  </si>
  <si>
    <t>上海国际知识产权学院</t>
  </si>
  <si>
    <t>医学与生命科学部</t>
  </si>
  <si>
    <t>出国培训学院，留德预备部</t>
  </si>
  <si>
    <t>网络教育学院，继续教育学院</t>
  </si>
  <si>
    <t>中德学院</t>
  </si>
  <si>
    <t>创新创业学院</t>
  </si>
  <si>
    <t>新生院</t>
  </si>
  <si>
    <t>国豪书院（未来技术学院）</t>
  </si>
  <si>
    <t>国家卓越工程师学院，国际工程师学院</t>
  </si>
  <si>
    <t>中意工程创新学院</t>
  </si>
  <si>
    <t>启迪书院</t>
  </si>
  <si>
    <t>口腔医学院</t>
  </si>
  <si>
    <t>上海自主智能无人系统科学中心</t>
  </si>
  <si>
    <t>同济大学上海国际设计创新学院</t>
  </si>
  <si>
    <t>【汇总】R²</t>
  </si>
  <si>
    <t>【汇总】MAPE(%)</t>
  </si>
  <si>
    <t>【汇总】t_p(均值检验)</t>
  </si>
  <si>
    <t>【汇总】均值检验结论</t>
  </si>
  <si>
    <t>【汇总】F_p(方差检验)</t>
  </si>
  <si>
    <t>【汇总】方差检验结论</t>
  </si>
  <si>
    <t>【汇总】Levene_p</t>
  </si>
  <si>
    <t>【汇总】Levene检验结论</t>
  </si>
  <si>
    <t>通过</t>
  </si>
  <si>
    <t>【汇总】MAE_vs参数1</t>
    <phoneticPr fontId="11" type="noConversion"/>
  </si>
  <si>
    <t>【汇总】RMSE_vs参数1</t>
    <phoneticPr fontId="11" type="noConversion"/>
  </si>
  <si>
    <t>【汇总】MAE_vs参数2</t>
    <phoneticPr fontId="11" type="noConversion"/>
  </si>
  <si>
    <t>【汇总】RMSE_vs参数2</t>
    <phoneticPr fontId="11" type="noConversion"/>
  </si>
  <si>
    <t>学生数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</si>
</sst>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%"/>
  </numFmts>
  <fonts count="1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黑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indexed="8"/>
      <name val="仿宋_GB2312"/>
      <charset val="134"/>
    </font>
    <font>
      <sz val="1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rgb="FF000000"/>
      <name val="仿宋_GB2312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zoomScale="83" workbookViewId="0">
      <selection activeCell="E46" sqref="E46"/>
    </sheetView>
  </sheetViews>
  <sheetFormatPr defaultColWidth="9" defaultRowHeight="13.8"/>
  <cols>
    <col min="1" max="1" width="9" style="12"/>
    <col min="2" max="2" width="42.6640625" style="12" customWidth="1"/>
    <col min="3" max="3" width="9" style="12" customWidth="1"/>
    <col min="4" max="4" width="17.33203125" style="12" customWidth="1"/>
    <col min="5" max="5" width="16.109375" style="12" customWidth="1"/>
    <col min="6" max="7" width="17.33203125" style="12" customWidth="1"/>
    <col min="8" max="8" width="9" style="12" customWidth="1"/>
    <col min="9" max="9" width="13" style="12" customWidth="1"/>
    <col min="10" max="11" width="9" style="15" customWidth="1"/>
    <col min="12" max="16384" width="9" style="12"/>
  </cols>
  <sheetData>
    <row r="1" spans="1:15" s="6" customFormat="1" ht="57.6">
      <c r="A1" s="1" t="s">
        <v>0</v>
      </c>
      <c r="B1" s="1" t="s">
        <v>1</v>
      </c>
      <c r="C1" s="1" t="s">
        <v>69</v>
      </c>
      <c r="D1" s="2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5" t="s">
        <v>9</v>
      </c>
      <c r="L1" s="6" t="s">
        <v>37</v>
      </c>
      <c r="M1" s="6" t="s">
        <v>38</v>
      </c>
      <c r="N1" s="6" t="s">
        <v>39</v>
      </c>
      <c r="O1" s="6" t="s">
        <v>40</v>
      </c>
    </row>
    <row r="2" spans="1:15" ht="25.05" customHeight="1">
      <c r="A2" s="7">
        <v>1</v>
      </c>
      <c r="B2" s="8" t="s">
        <v>10</v>
      </c>
      <c r="C2" s="7">
        <v>3598</v>
      </c>
      <c r="D2" s="9">
        <v>273</v>
      </c>
      <c r="E2" s="9">
        <v>27</v>
      </c>
      <c r="F2" s="10">
        <f t="shared" ref="F2:F29" si="0">1.35179+0.002709*C2+0.054776*D2</f>
        <v>26.052619999999997</v>
      </c>
      <c r="G2" s="10">
        <v>25</v>
      </c>
      <c r="H2" s="11">
        <f t="shared" ref="H2:H28" si="1">MIN(E2,F2)/MAX(E2,F2)</f>
        <v>0.9649118518518518</v>
      </c>
      <c r="I2" s="10">
        <f t="shared" ref="I2:I28" si="2">F2-E2</f>
        <v>-0.94738000000000255</v>
      </c>
      <c r="J2" s="15">
        <v>26.62</v>
      </c>
      <c r="K2" s="15">
        <v>0.56999999999999995</v>
      </c>
      <c r="L2" s="12">
        <v>4.3239999999999998</v>
      </c>
      <c r="M2" s="12">
        <v>6.4859999999999998</v>
      </c>
      <c r="N2" s="12">
        <v>10.81</v>
      </c>
      <c r="O2" s="12">
        <v>5</v>
      </c>
    </row>
    <row r="3" spans="1:15" ht="25.05" customHeight="1">
      <c r="A3" s="7">
        <v>2</v>
      </c>
      <c r="B3" s="8" t="s">
        <v>11</v>
      </c>
      <c r="C3" s="7">
        <v>734</v>
      </c>
      <c r="D3" s="9">
        <v>57</v>
      </c>
      <c r="E3" s="9">
        <v>5</v>
      </c>
      <c r="F3" s="10">
        <f t="shared" si="0"/>
        <v>6.4624280000000001</v>
      </c>
      <c r="G3" s="10">
        <v>7</v>
      </c>
      <c r="H3" s="11">
        <f t="shared" si="1"/>
        <v>0.77370301069505143</v>
      </c>
      <c r="I3" s="10">
        <f t="shared" si="2"/>
        <v>1.4624280000000001</v>
      </c>
      <c r="J3" s="15">
        <v>6.39</v>
      </c>
      <c r="K3" s="15">
        <v>-0.08</v>
      </c>
      <c r="L3" s="12">
        <v>1.0780000000000001</v>
      </c>
      <c r="M3" s="12">
        <v>1.617</v>
      </c>
      <c r="N3" s="12">
        <v>2.6949999999999998</v>
      </c>
      <c r="O3" s="12">
        <v>1</v>
      </c>
    </row>
    <row r="4" spans="1:15" ht="25.05" customHeight="1">
      <c r="A4" s="7">
        <v>3</v>
      </c>
      <c r="B4" s="8" t="s">
        <v>12</v>
      </c>
      <c r="C4" s="7">
        <v>2184</v>
      </c>
      <c r="D4" s="9">
        <v>232</v>
      </c>
      <c r="E4" s="9">
        <v>20</v>
      </c>
      <c r="F4" s="10">
        <f t="shared" si="0"/>
        <v>19.976278000000001</v>
      </c>
      <c r="G4" s="10">
        <v>20</v>
      </c>
      <c r="H4" s="11">
        <f t="shared" si="1"/>
        <v>0.99881390000000003</v>
      </c>
      <c r="I4" s="10">
        <f t="shared" si="2"/>
        <v>-2.3721999999999355E-2</v>
      </c>
      <c r="J4" s="15">
        <v>19.86</v>
      </c>
      <c r="K4" s="15">
        <v>-0.11</v>
      </c>
      <c r="L4" s="12">
        <v>3.3719999999999999</v>
      </c>
      <c r="M4" s="12">
        <v>5.0579999999999998</v>
      </c>
      <c r="N4" s="12">
        <v>8.43</v>
      </c>
      <c r="O4" s="12">
        <v>3</v>
      </c>
    </row>
    <row r="5" spans="1:15" ht="25.05" customHeight="1">
      <c r="A5" s="7">
        <v>4</v>
      </c>
      <c r="B5" s="8" t="s">
        <v>13</v>
      </c>
      <c r="C5" s="7">
        <v>2171</v>
      </c>
      <c r="D5" s="9">
        <v>168</v>
      </c>
      <c r="E5" s="9">
        <v>22</v>
      </c>
      <c r="F5" s="10">
        <f t="shared" si="0"/>
        <v>16.435397000000002</v>
      </c>
      <c r="G5" s="10">
        <v>16</v>
      </c>
      <c r="H5" s="11">
        <f t="shared" si="1"/>
        <v>0.7470635000000001</v>
      </c>
      <c r="I5" s="10">
        <f t="shared" si="2"/>
        <v>-5.5646029999999982</v>
      </c>
      <c r="J5" s="15">
        <v>17.23</v>
      </c>
      <c r="K5" s="15">
        <v>0.8</v>
      </c>
      <c r="L5" s="12">
        <v>3.0459999999999998</v>
      </c>
      <c r="M5" s="12">
        <v>4.569</v>
      </c>
      <c r="N5" s="12">
        <v>7.6150000000000002</v>
      </c>
      <c r="O5" s="12">
        <v>2</v>
      </c>
    </row>
    <row r="6" spans="1:15" ht="25.05" customHeight="1">
      <c r="A6" s="7">
        <v>5</v>
      </c>
      <c r="B6" s="8" t="s">
        <v>14</v>
      </c>
      <c r="C6" s="7">
        <v>1750</v>
      </c>
      <c r="D6" s="9">
        <v>62</v>
      </c>
      <c r="E6" s="9">
        <v>11</v>
      </c>
      <c r="F6" s="10">
        <f t="shared" si="0"/>
        <v>9.4886520000000001</v>
      </c>
      <c r="G6" s="10">
        <v>9</v>
      </c>
      <c r="H6" s="11">
        <f t="shared" si="1"/>
        <v>0.8626047272727273</v>
      </c>
      <c r="I6" s="10">
        <f t="shared" si="2"/>
        <v>-1.5113479999999999</v>
      </c>
      <c r="J6" s="15">
        <v>9.2799999999999994</v>
      </c>
      <c r="K6" s="15">
        <v>-0.2</v>
      </c>
      <c r="L6" s="12">
        <v>1.456</v>
      </c>
      <c r="M6" s="12">
        <v>2.1840000000000002</v>
      </c>
      <c r="N6" s="12">
        <v>3.64</v>
      </c>
      <c r="O6" s="12">
        <v>2</v>
      </c>
    </row>
    <row r="7" spans="1:15" ht="25.05" customHeight="1">
      <c r="A7" s="7">
        <v>6</v>
      </c>
      <c r="B7" s="8" t="s">
        <v>15</v>
      </c>
      <c r="C7" s="7">
        <v>1653</v>
      </c>
      <c r="D7" s="9">
        <v>162</v>
      </c>
      <c r="E7" s="9">
        <v>17</v>
      </c>
      <c r="F7" s="10">
        <f t="shared" si="0"/>
        <v>14.703479</v>
      </c>
      <c r="G7" s="10">
        <v>15</v>
      </c>
      <c r="H7" s="11">
        <f t="shared" si="1"/>
        <v>0.86491052941176472</v>
      </c>
      <c r="I7" s="10">
        <f t="shared" si="2"/>
        <v>-2.2965210000000003</v>
      </c>
      <c r="J7" s="15">
        <v>16.329999999999998</v>
      </c>
      <c r="K7" s="15">
        <v>1.62</v>
      </c>
      <c r="L7" s="12">
        <v>2.8660000000000001</v>
      </c>
      <c r="M7" s="12">
        <v>4.2990000000000004</v>
      </c>
      <c r="N7" s="12">
        <v>7.165</v>
      </c>
      <c r="O7" s="12">
        <v>2</v>
      </c>
    </row>
    <row r="8" spans="1:15" ht="25.05" customHeight="1">
      <c r="A8" s="7">
        <v>7</v>
      </c>
      <c r="B8" s="8" t="s">
        <v>16</v>
      </c>
      <c r="C8" s="7">
        <v>2886</v>
      </c>
      <c r="D8" s="9">
        <v>219</v>
      </c>
      <c r="E8" s="9">
        <v>16</v>
      </c>
      <c r="F8" s="10">
        <f t="shared" si="0"/>
        <v>21.165908000000002</v>
      </c>
      <c r="G8" s="10">
        <v>21</v>
      </c>
      <c r="H8" s="11">
        <f t="shared" si="1"/>
        <v>0.75593260634034687</v>
      </c>
      <c r="I8" s="10">
        <f t="shared" si="2"/>
        <v>5.1659080000000017</v>
      </c>
      <c r="J8" s="15">
        <v>17.54</v>
      </c>
      <c r="K8" s="15">
        <v>-3.63</v>
      </c>
      <c r="L8" s="12">
        <v>3.1080000000000001</v>
      </c>
      <c r="M8" s="12">
        <v>4.6619999999999999</v>
      </c>
      <c r="N8" s="12">
        <v>7.77</v>
      </c>
      <c r="O8" s="12">
        <v>2</v>
      </c>
    </row>
    <row r="9" spans="1:15" ht="25.05" customHeight="1">
      <c r="A9" s="7">
        <v>8</v>
      </c>
      <c r="B9" s="8" t="s">
        <v>17</v>
      </c>
      <c r="C9" s="7">
        <v>1179</v>
      </c>
      <c r="D9" s="9">
        <v>92</v>
      </c>
      <c r="E9" s="9">
        <v>9</v>
      </c>
      <c r="F9" s="10">
        <f t="shared" si="0"/>
        <v>9.5850930000000005</v>
      </c>
      <c r="G9" s="10">
        <v>10</v>
      </c>
      <c r="H9" s="11">
        <f t="shared" si="1"/>
        <v>0.93895802575937448</v>
      </c>
      <c r="I9" s="10">
        <f t="shared" si="2"/>
        <v>0.58509300000000053</v>
      </c>
      <c r="J9" s="15">
        <v>9.75</v>
      </c>
      <c r="K9" s="15">
        <v>0.16</v>
      </c>
      <c r="L9" s="12">
        <v>1.75</v>
      </c>
      <c r="M9" s="12">
        <v>2.625</v>
      </c>
      <c r="N9" s="12">
        <v>4.375</v>
      </c>
      <c r="O9" s="12">
        <v>1</v>
      </c>
    </row>
    <row r="10" spans="1:15" ht="25.05" customHeight="1">
      <c r="A10" s="7">
        <v>9</v>
      </c>
      <c r="B10" s="8" t="s">
        <v>18</v>
      </c>
      <c r="C10" s="7">
        <v>2307</v>
      </c>
      <c r="D10" s="9">
        <v>124</v>
      </c>
      <c r="E10" s="9">
        <v>12</v>
      </c>
      <c r="F10" s="10">
        <f t="shared" si="0"/>
        <v>14.393677</v>
      </c>
      <c r="G10" s="10">
        <v>14</v>
      </c>
      <c r="H10" s="11">
        <f t="shared" si="1"/>
        <v>0.83369940842774226</v>
      </c>
      <c r="I10" s="10">
        <f t="shared" si="2"/>
        <v>2.3936770000000003</v>
      </c>
      <c r="J10" s="15">
        <v>12.73</v>
      </c>
      <c r="K10" s="15">
        <v>-1.66</v>
      </c>
      <c r="L10" s="12">
        <v>2.1459999999999999</v>
      </c>
      <c r="M10" s="12">
        <v>3.2189999999999999</v>
      </c>
      <c r="N10" s="12">
        <v>5.3650000000000002</v>
      </c>
      <c r="O10" s="12">
        <v>2</v>
      </c>
    </row>
    <row r="11" spans="1:15" ht="25.05" customHeight="1">
      <c r="A11" s="7">
        <v>10</v>
      </c>
      <c r="B11" s="8" t="s">
        <v>19</v>
      </c>
      <c r="C11" s="7">
        <v>724</v>
      </c>
      <c r="D11" s="9">
        <v>82</v>
      </c>
      <c r="E11" s="9">
        <v>6</v>
      </c>
      <c r="F11" s="10">
        <f t="shared" si="0"/>
        <v>7.8047380000000004</v>
      </c>
      <c r="G11" s="10">
        <v>8</v>
      </c>
      <c r="H11" s="11">
        <f t="shared" si="1"/>
        <v>0.76876379450533761</v>
      </c>
      <c r="I11" s="10">
        <f t="shared" si="2"/>
        <v>1.8047380000000004</v>
      </c>
      <c r="J11" s="15">
        <v>7.1</v>
      </c>
      <c r="K11" s="15">
        <v>-0.71</v>
      </c>
      <c r="L11" s="12">
        <v>1.22</v>
      </c>
      <c r="M11" s="12">
        <v>1.83</v>
      </c>
      <c r="N11" s="12">
        <v>3.05</v>
      </c>
      <c r="O11" s="12">
        <v>1</v>
      </c>
    </row>
    <row r="12" spans="1:15" ht="25.05" customHeight="1">
      <c r="A12" s="7">
        <v>11</v>
      </c>
      <c r="B12" s="8" t="s">
        <v>20</v>
      </c>
      <c r="C12" s="7">
        <v>1033</v>
      </c>
      <c r="D12" s="9">
        <v>110</v>
      </c>
      <c r="E12" s="9">
        <v>6</v>
      </c>
      <c r="F12" s="10">
        <f t="shared" si="0"/>
        <v>10.175547</v>
      </c>
      <c r="G12" s="10">
        <v>11</v>
      </c>
      <c r="H12" s="11">
        <f t="shared" si="1"/>
        <v>0.58964889061983594</v>
      </c>
      <c r="I12" s="10">
        <f t="shared" si="2"/>
        <v>4.1755469999999999</v>
      </c>
      <c r="J12" s="15">
        <v>9.91</v>
      </c>
      <c r="K12" s="15">
        <v>-0.27</v>
      </c>
      <c r="L12" s="12">
        <v>1.782</v>
      </c>
      <c r="M12" s="12">
        <v>2.673</v>
      </c>
      <c r="N12" s="12">
        <v>4.4550000000000001</v>
      </c>
      <c r="O12" s="12">
        <v>1</v>
      </c>
    </row>
    <row r="13" spans="1:15" ht="25.05" customHeight="1">
      <c r="A13" s="7">
        <v>12</v>
      </c>
      <c r="B13" s="8" t="s">
        <v>21</v>
      </c>
      <c r="C13" s="7">
        <v>655</v>
      </c>
      <c r="D13" s="9">
        <v>65</v>
      </c>
      <c r="E13" s="9">
        <v>7</v>
      </c>
      <c r="F13" s="10">
        <f t="shared" si="0"/>
        <v>6.6866249999999994</v>
      </c>
      <c r="G13" s="10">
        <v>7</v>
      </c>
      <c r="H13" s="11">
        <f t="shared" si="1"/>
        <v>0.95523214285714275</v>
      </c>
      <c r="I13" s="10">
        <f t="shared" si="2"/>
        <v>-0.31337500000000063</v>
      </c>
      <c r="J13" s="15">
        <v>6.73</v>
      </c>
      <c r="K13" s="15">
        <v>0.04</v>
      </c>
      <c r="L13" s="12">
        <v>1.1459999999999999</v>
      </c>
      <c r="M13" s="12">
        <v>1.7190000000000001</v>
      </c>
      <c r="N13" s="12">
        <v>2.8650000000000002</v>
      </c>
      <c r="O13" s="12">
        <v>1</v>
      </c>
    </row>
    <row r="14" spans="1:15" ht="25.05" customHeight="1">
      <c r="A14" s="7">
        <v>13</v>
      </c>
      <c r="B14" s="8" t="s">
        <v>22</v>
      </c>
      <c r="C14" s="7">
        <v>569</v>
      </c>
      <c r="D14" s="9">
        <v>92</v>
      </c>
      <c r="E14" s="9">
        <v>8</v>
      </c>
      <c r="F14" s="10">
        <f t="shared" si="0"/>
        <v>7.9326029999999994</v>
      </c>
      <c r="G14" s="10">
        <v>9</v>
      </c>
      <c r="H14" s="11">
        <f t="shared" si="1"/>
        <v>0.99157537499999993</v>
      </c>
      <c r="I14" s="10">
        <f t="shared" si="2"/>
        <v>-6.7397000000000595E-2</v>
      </c>
      <c r="J14" s="15">
        <v>8.4700000000000006</v>
      </c>
      <c r="K14" s="15">
        <v>0.54</v>
      </c>
      <c r="L14" s="12">
        <v>1.494</v>
      </c>
      <c r="M14" s="12">
        <v>2.2410000000000001</v>
      </c>
      <c r="N14" s="12">
        <v>3.7349999999999999</v>
      </c>
      <c r="O14" s="12">
        <v>1</v>
      </c>
    </row>
    <row r="15" spans="1:15" ht="25.05" customHeight="1">
      <c r="A15" s="7">
        <v>14</v>
      </c>
      <c r="B15" s="8" t="s">
        <v>23</v>
      </c>
      <c r="C15" s="7">
        <v>808</v>
      </c>
      <c r="D15" s="9">
        <v>80</v>
      </c>
      <c r="E15" s="9">
        <v>7</v>
      </c>
      <c r="F15" s="10">
        <f t="shared" si="0"/>
        <v>7.9227420000000004</v>
      </c>
      <c r="G15" s="10">
        <v>9</v>
      </c>
      <c r="H15" s="11">
        <f t="shared" si="1"/>
        <v>0.88353249417941415</v>
      </c>
      <c r="I15" s="10">
        <f t="shared" si="2"/>
        <v>0.9227420000000004</v>
      </c>
      <c r="J15" s="15">
        <v>7.5</v>
      </c>
      <c r="K15" s="15">
        <v>-0.42</v>
      </c>
      <c r="L15" s="12">
        <v>1.3</v>
      </c>
      <c r="M15" s="12">
        <v>1.95</v>
      </c>
      <c r="N15" s="12">
        <v>3.25</v>
      </c>
      <c r="O15" s="12">
        <v>1</v>
      </c>
    </row>
    <row r="16" spans="1:15" ht="25.05" customHeight="1">
      <c r="A16" s="7">
        <v>15</v>
      </c>
      <c r="B16" s="13" t="s">
        <v>24</v>
      </c>
      <c r="C16" s="7">
        <v>2465</v>
      </c>
      <c r="D16" s="9">
        <v>192</v>
      </c>
      <c r="E16" s="9">
        <v>20</v>
      </c>
      <c r="F16" s="10">
        <f t="shared" si="0"/>
        <v>18.546467</v>
      </c>
      <c r="G16" s="10">
        <v>18</v>
      </c>
      <c r="H16" s="11">
        <f t="shared" si="1"/>
        <v>0.92732334999999999</v>
      </c>
      <c r="I16" s="10">
        <f t="shared" si="2"/>
        <v>-1.4535330000000002</v>
      </c>
      <c r="J16" s="15">
        <v>18.84</v>
      </c>
      <c r="K16" s="15">
        <v>0.28999999999999998</v>
      </c>
      <c r="L16" s="12">
        <v>3.3679999999999999</v>
      </c>
      <c r="M16" s="12">
        <v>5.0519999999999996</v>
      </c>
      <c r="N16" s="12">
        <v>8.42</v>
      </c>
      <c r="O16" s="12">
        <v>2</v>
      </c>
    </row>
    <row r="17" spans="1:15" ht="25.05" customHeight="1">
      <c r="A17" s="7">
        <v>16</v>
      </c>
      <c r="B17" s="8" t="s">
        <v>25</v>
      </c>
      <c r="C17" s="7">
        <v>2153</v>
      </c>
      <c r="D17" s="9">
        <v>118</v>
      </c>
      <c r="E17" s="9">
        <v>11</v>
      </c>
      <c r="F17" s="10">
        <f t="shared" si="0"/>
        <v>13.647835000000001</v>
      </c>
      <c r="G17" s="10">
        <v>13</v>
      </c>
      <c r="H17" s="11">
        <f t="shared" si="1"/>
        <v>0.80598864215459809</v>
      </c>
      <c r="I17" s="10">
        <f t="shared" si="2"/>
        <v>2.6478350000000006</v>
      </c>
      <c r="J17" s="15">
        <v>13.7</v>
      </c>
      <c r="K17" s="15">
        <v>0.05</v>
      </c>
      <c r="L17" s="12">
        <v>2.34</v>
      </c>
      <c r="M17" s="12">
        <v>3.51</v>
      </c>
      <c r="N17" s="12">
        <v>5.85</v>
      </c>
      <c r="O17" s="12">
        <v>2</v>
      </c>
    </row>
    <row r="18" spans="1:15" ht="25.05" customHeight="1">
      <c r="A18" s="7">
        <v>17</v>
      </c>
      <c r="B18" s="8" t="s">
        <v>26</v>
      </c>
      <c r="C18" s="7">
        <v>4130</v>
      </c>
      <c r="D18" s="9">
        <v>139</v>
      </c>
      <c r="E18" s="9">
        <v>22</v>
      </c>
      <c r="F18" s="10">
        <f t="shared" si="0"/>
        <v>20.153824</v>
      </c>
      <c r="G18" s="10">
        <v>18</v>
      </c>
      <c r="H18" s="11">
        <f t="shared" si="1"/>
        <v>0.91608290909090906</v>
      </c>
      <c r="I18" s="10">
        <f t="shared" si="2"/>
        <v>-1.8461759999999998</v>
      </c>
      <c r="J18" s="15">
        <v>21.55</v>
      </c>
      <c r="K18" s="15">
        <v>1.39</v>
      </c>
      <c r="L18" s="12">
        <v>3.51</v>
      </c>
      <c r="M18" s="12">
        <v>5.2649999999999997</v>
      </c>
      <c r="N18" s="12">
        <v>8.7750000000000004</v>
      </c>
      <c r="O18" s="12">
        <v>4</v>
      </c>
    </row>
    <row r="19" spans="1:15" ht="25.05" customHeight="1">
      <c r="A19" s="7">
        <v>18</v>
      </c>
      <c r="B19" s="8" t="s">
        <v>27</v>
      </c>
      <c r="C19" s="7">
        <v>981</v>
      </c>
      <c r="D19" s="9">
        <v>109</v>
      </c>
      <c r="E19" s="9">
        <v>8</v>
      </c>
      <c r="F19" s="10">
        <f t="shared" si="0"/>
        <v>9.9799030000000002</v>
      </c>
      <c r="G19" s="10">
        <v>11</v>
      </c>
      <c r="H19" s="11">
        <f t="shared" si="1"/>
        <v>0.80161099762192078</v>
      </c>
      <c r="I19" s="10">
        <f t="shared" si="2"/>
        <v>1.9799030000000002</v>
      </c>
      <c r="J19" s="15">
        <v>10.47</v>
      </c>
      <c r="K19" s="15">
        <v>0.49</v>
      </c>
      <c r="L19" s="12">
        <v>1.8939999999999999</v>
      </c>
      <c r="M19" s="12">
        <v>2.8410000000000002</v>
      </c>
      <c r="N19" s="12">
        <v>4.7350000000000003</v>
      </c>
      <c r="O19" s="12">
        <v>1</v>
      </c>
    </row>
    <row r="20" spans="1:15" ht="25.05" customHeight="1">
      <c r="A20" s="7">
        <v>19</v>
      </c>
      <c r="B20" s="8" t="s">
        <v>28</v>
      </c>
      <c r="C20" s="7">
        <v>619</v>
      </c>
      <c r="D20" s="9">
        <v>148</v>
      </c>
      <c r="E20" s="9">
        <v>12</v>
      </c>
      <c r="F20" s="10">
        <f t="shared" si="0"/>
        <v>11.135508999999999</v>
      </c>
      <c r="G20" s="10">
        <v>12</v>
      </c>
      <c r="H20" s="11">
        <f t="shared" si="1"/>
        <v>0.92795908333333321</v>
      </c>
      <c r="I20" s="10">
        <f t="shared" si="2"/>
        <v>-0.86449100000000101</v>
      </c>
      <c r="J20" s="15">
        <v>10.41</v>
      </c>
      <c r="K20" s="15">
        <v>-0.72</v>
      </c>
      <c r="L20" s="12">
        <v>1.8819999999999999</v>
      </c>
      <c r="M20" s="12">
        <v>2.823</v>
      </c>
      <c r="N20" s="12">
        <v>4.7050000000000001</v>
      </c>
      <c r="O20" s="12">
        <v>1</v>
      </c>
    </row>
    <row r="21" spans="1:15" ht="25.05" customHeight="1">
      <c r="A21" s="7">
        <v>20</v>
      </c>
      <c r="B21" s="8" t="s">
        <v>29</v>
      </c>
      <c r="C21" s="7">
        <v>122</v>
      </c>
      <c r="D21" s="9">
        <v>24</v>
      </c>
      <c r="E21" s="9">
        <v>4</v>
      </c>
      <c r="F21" s="10">
        <f t="shared" si="0"/>
        <v>2.996912</v>
      </c>
      <c r="G21" s="10">
        <v>4</v>
      </c>
      <c r="H21" s="11">
        <f t="shared" si="1"/>
        <v>0.74922800000000001</v>
      </c>
      <c r="I21" s="10">
        <f t="shared" si="2"/>
        <v>-1.003088</v>
      </c>
      <c r="J21" s="15">
        <v>4.5</v>
      </c>
      <c r="K21" s="15">
        <v>1.5</v>
      </c>
      <c r="L21" s="12">
        <v>0.7</v>
      </c>
      <c r="M21" s="12">
        <v>1.05</v>
      </c>
      <c r="N21" s="12">
        <v>1.75</v>
      </c>
      <c r="O21" s="12">
        <v>1</v>
      </c>
    </row>
    <row r="22" spans="1:15" ht="25.05" customHeight="1">
      <c r="A22" s="7">
        <v>21</v>
      </c>
      <c r="B22" s="8" t="s">
        <v>30</v>
      </c>
      <c r="C22" s="7">
        <v>792</v>
      </c>
      <c r="D22" s="9">
        <v>55</v>
      </c>
      <c r="E22" s="9">
        <v>9</v>
      </c>
      <c r="F22" s="10">
        <f t="shared" si="0"/>
        <v>6.5099979999999995</v>
      </c>
      <c r="G22" s="10">
        <v>7</v>
      </c>
      <c r="H22" s="11">
        <f t="shared" si="1"/>
        <v>0.72333311111111109</v>
      </c>
      <c r="I22" s="10">
        <f t="shared" si="2"/>
        <v>-2.4900020000000005</v>
      </c>
      <c r="J22" s="15">
        <v>6.66</v>
      </c>
      <c r="K22" s="15">
        <v>0.15</v>
      </c>
      <c r="L22" s="12">
        <v>1.1319999999999999</v>
      </c>
      <c r="M22" s="12">
        <v>1.698</v>
      </c>
      <c r="N22" s="12">
        <v>2.83</v>
      </c>
      <c r="O22" s="12">
        <v>1</v>
      </c>
    </row>
    <row r="23" spans="1:15" ht="25.05" customHeight="1">
      <c r="A23" s="7">
        <v>22</v>
      </c>
      <c r="B23" s="8" t="s">
        <v>31</v>
      </c>
      <c r="C23" s="7">
        <v>876</v>
      </c>
      <c r="D23" s="9">
        <v>75</v>
      </c>
      <c r="E23" s="9">
        <v>7</v>
      </c>
      <c r="F23" s="10">
        <f t="shared" si="0"/>
        <v>7.8330739999999999</v>
      </c>
      <c r="G23" s="10">
        <v>8</v>
      </c>
      <c r="H23" s="11">
        <f t="shared" si="1"/>
        <v>0.89364660668340423</v>
      </c>
      <c r="I23" s="10">
        <f t="shared" si="2"/>
        <v>0.83307399999999987</v>
      </c>
      <c r="J23" s="15">
        <v>6.92</v>
      </c>
      <c r="K23" s="15">
        <v>-0.92</v>
      </c>
      <c r="L23" s="12">
        <v>1.1839999999999999</v>
      </c>
      <c r="M23" s="12">
        <v>1.776</v>
      </c>
      <c r="N23" s="12">
        <v>2.96</v>
      </c>
      <c r="O23" s="12">
        <v>1</v>
      </c>
    </row>
    <row r="24" spans="1:15" ht="25.05" customHeight="1">
      <c r="A24" s="7">
        <v>23</v>
      </c>
      <c r="B24" s="8" t="s">
        <v>32</v>
      </c>
      <c r="C24" s="7">
        <v>617</v>
      </c>
      <c r="D24" s="9">
        <v>92</v>
      </c>
      <c r="E24" s="9">
        <v>7</v>
      </c>
      <c r="F24" s="10">
        <f t="shared" si="0"/>
        <v>8.0626350000000002</v>
      </c>
      <c r="G24" s="10">
        <v>9</v>
      </c>
      <c r="H24" s="11">
        <f t="shared" si="1"/>
        <v>0.86820251691909656</v>
      </c>
      <c r="I24" s="10">
        <f t="shared" si="2"/>
        <v>1.0626350000000002</v>
      </c>
      <c r="J24" s="15">
        <v>7.71</v>
      </c>
      <c r="K24" s="15">
        <v>-0.35</v>
      </c>
      <c r="L24" s="12">
        <v>1.3420000000000001</v>
      </c>
      <c r="M24" s="12">
        <v>2.0129999999999999</v>
      </c>
      <c r="N24" s="12">
        <v>3.355</v>
      </c>
      <c r="O24" s="12">
        <v>1</v>
      </c>
    </row>
    <row r="25" spans="1:15" ht="25.05" customHeight="1">
      <c r="A25" s="7">
        <v>24</v>
      </c>
      <c r="B25" s="8" t="s">
        <v>33</v>
      </c>
      <c r="C25" s="7">
        <v>415</v>
      </c>
      <c r="D25" s="9">
        <v>46</v>
      </c>
      <c r="E25" s="9">
        <v>3</v>
      </c>
      <c r="F25" s="10">
        <f t="shared" si="0"/>
        <v>4.9957209999999996</v>
      </c>
      <c r="G25" s="10">
        <v>6</v>
      </c>
      <c r="H25" s="11">
        <f t="shared" si="1"/>
        <v>0.60051391981257563</v>
      </c>
      <c r="I25" s="10">
        <f t="shared" si="2"/>
        <v>1.9957209999999996</v>
      </c>
      <c r="J25" s="15">
        <v>5.8</v>
      </c>
      <c r="K25" s="15">
        <v>0.8</v>
      </c>
      <c r="L25" s="12">
        <v>0.96</v>
      </c>
      <c r="M25" s="12">
        <v>1.44</v>
      </c>
      <c r="N25" s="12">
        <v>2.4</v>
      </c>
      <c r="O25" s="12">
        <v>1</v>
      </c>
    </row>
    <row r="26" spans="1:15" ht="25.05" customHeight="1">
      <c r="A26" s="7">
        <v>25</v>
      </c>
      <c r="B26" s="8" t="s">
        <v>34</v>
      </c>
      <c r="C26" s="7">
        <v>562</v>
      </c>
      <c r="D26" s="9">
        <v>52</v>
      </c>
      <c r="E26" s="9">
        <v>6</v>
      </c>
      <c r="F26" s="10">
        <f t="shared" si="0"/>
        <v>5.7225999999999999</v>
      </c>
      <c r="G26" s="10">
        <v>6</v>
      </c>
      <c r="H26" s="11">
        <f t="shared" si="1"/>
        <v>0.95376666666666665</v>
      </c>
      <c r="I26" s="10">
        <f t="shared" si="2"/>
        <v>-0.27740000000000009</v>
      </c>
      <c r="J26" s="15">
        <v>6.17</v>
      </c>
      <c r="K26" s="15">
        <v>0.45</v>
      </c>
      <c r="L26" s="12">
        <v>1.034</v>
      </c>
      <c r="M26" s="12">
        <v>1.5509999999999999</v>
      </c>
      <c r="N26" s="12">
        <v>2.585</v>
      </c>
      <c r="O26" s="12">
        <v>1</v>
      </c>
    </row>
    <row r="27" spans="1:15" ht="25.05" customHeight="1">
      <c r="A27" s="7">
        <v>26</v>
      </c>
      <c r="B27" s="8" t="s">
        <v>35</v>
      </c>
      <c r="C27" s="7">
        <v>320</v>
      </c>
      <c r="D27" s="9">
        <v>67</v>
      </c>
      <c r="E27" s="9">
        <v>8</v>
      </c>
      <c r="F27" s="10">
        <f t="shared" si="0"/>
        <v>5.8886620000000001</v>
      </c>
      <c r="G27" s="10">
        <v>7</v>
      </c>
      <c r="H27" s="11">
        <f t="shared" si="1"/>
        <v>0.73608275000000001</v>
      </c>
      <c r="I27" s="10">
        <f t="shared" si="2"/>
        <v>-2.1113379999999999</v>
      </c>
      <c r="J27" s="15">
        <v>6.01</v>
      </c>
      <c r="K27" s="15">
        <v>0.13</v>
      </c>
      <c r="L27" s="12">
        <v>1.002</v>
      </c>
      <c r="M27" s="12">
        <v>1.5029999999999999</v>
      </c>
      <c r="N27" s="12">
        <v>2.5049999999999999</v>
      </c>
      <c r="O27" s="12">
        <v>1</v>
      </c>
    </row>
    <row r="28" spans="1:15" ht="25.05" customHeight="1">
      <c r="A28" s="7">
        <v>27</v>
      </c>
      <c r="B28" s="8" t="s">
        <v>36</v>
      </c>
      <c r="C28" s="7">
        <v>344</v>
      </c>
      <c r="D28" s="9">
        <v>93</v>
      </c>
      <c r="E28" s="9">
        <v>11</v>
      </c>
      <c r="F28" s="10">
        <f t="shared" si="0"/>
        <v>7.3778540000000001</v>
      </c>
      <c r="G28" s="10">
        <v>8</v>
      </c>
      <c r="H28" s="11">
        <f t="shared" si="1"/>
        <v>0.67071400000000003</v>
      </c>
      <c r="I28" s="10">
        <f t="shared" si="2"/>
        <v>-3.6221459999999999</v>
      </c>
      <c r="J28" s="15">
        <v>7.62</v>
      </c>
      <c r="K28" s="15">
        <v>0.24</v>
      </c>
      <c r="L28" s="12">
        <v>1.3240000000000001</v>
      </c>
      <c r="M28" s="12">
        <v>1.986</v>
      </c>
      <c r="N28" s="12">
        <v>3.31</v>
      </c>
      <c r="O28" s="12">
        <v>1</v>
      </c>
    </row>
    <row r="29" spans="1:15" ht="25.05" customHeight="1">
      <c r="A29" s="16">
        <v>28</v>
      </c>
      <c r="B29" s="16" t="s">
        <v>41</v>
      </c>
      <c r="C29" s="16">
        <v>734</v>
      </c>
      <c r="D29" s="12">
        <v>26</v>
      </c>
      <c r="E29" s="16">
        <v>5</v>
      </c>
      <c r="F29" s="16"/>
      <c r="G29" s="16"/>
      <c r="H29" s="16"/>
      <c r="I29" s="16"/>
      <c r="J29" s="17">
        <v>5</v>
      </c>
      <c r="K29" s="17"/>
      <c r="L29" s="12">
        <v>0.8</v>
      </c>
      <c r="M29" s="12">
        <v>1.2</v>
      </c>
      <c r="N29" s="12">
        <v>2</v>
      </c>
      <c r="O29" s="12">
        <v>1</v>
      </c>
    </row>
    <row r="30" spans="1:15" ht="25.05" customHeight="1">
      <c r="A30" s="16">
        <v>29</v>
      </c>
      <c r="B30" s="16" t="s">
        <v>42</v>
      </c>
      <c r="C30" s="16">
        <v>244</v>
      </c>
      <c r="D30" s="16">
        <v>29</v>
      </c>
      <c r="E30" s="16">
        <v>4</v>
      </c>
      <c r="F30" s="16"/>
      <c r="G30" s="16"/>
      <c r="H30" s="16"/>
      <c r="I30" s="16"/>
      <c r="J30" s="17">
        <v>5.31</v>
      </c>
      <c r="K30" s="17"/>
      <c r="L30" s="12">
        <v>0.86199999999999999</v>
      </c>
      <c r="M30" s="12">
        <v>1.2929999999999999</v>
      </c>
      <c r="N30" s="12">
        <v>2.1549999999999998</v>
      </c>
      <c r="O30" s="12">
        <v>1</v>
      </c>
    </row>
    <row r="31" spans="1:15" ht="25.05" customHeight="1">
      <c r="A31" s="16">
        <v>30</v>
      </c>
      <c r="B31" s="16" t="s">
        <v>43</v>
      </c>
      <c r="C31" s="16">
        <v>0</v>
      </c>
      <c r="D31" s="16">
        <v>0</v>
      </c>
      <c r="E31" s="16">
        <v>2</v>
      </c>
      <c r="F31" s="16"/>
      <c r="G31" s="16"/>
      <c r="H31" s="16"/>
      <c r="I31" s="16"/>
      <c r="J31" s="17">
        <v>2</v>
      </c>
      <c r="K31" s="17"/>
      <c r="L31" s="12">
        <v>0.2</v>
      </c>
      <c r="M31" s="12">
        <v>0.3</v>
      </c>
      <c r="N31" s="12">
        <v>0.5</v>
      </c>
      <c r="O31" s="12">
        <v>1</v>
      </c>
    </row>
    <row r="32" spans="1:15" ht="25.05" customHeight="1">
      <c r="A32" s="16">
        <v>31</v>
      </c>
      <c r="B32" s="16" t="s">
        <v>44</v>
      </c>
      <c r="C32" s="16">
        <v>0</v>
      </c>
      <c r="D32" s="16">
        <v>6</v>
      </c>
      <c r="E32" s="16">
        <v>0</v>
      </c>
      <c r="F32" s="16"/>
      <c r="G32" s="16"/>
      <c r="H32" s="16"/>
      <c r="I32" s="16"/>
      <c r="J32" s="17">
        <v>3.91</v>
      </c>
      <c r="K32" s="17"/>
      <c r="L32" s="12">
        <v>0.78200000000000003</v>
      </c>
      <c r="M32" s="12">
        <v>1.173</v>
      </c>
      <c r="N32" s="12">
        <v>1.9550000000000001</v>
      </c>
      <c r="O32" s="12">
        <v>0</v>
      </c>
    </row>
    <row r="33" spans="1:15" ht="25.05" customHeight="1">
      <c r="A33" s="16">
        <v>32</v>
      </c>
      <c r="B33" s="16" t="s">
        <v>45</v>
      </c>
      <c r="C33" s="16">
        <v>0</v>
      </c>
      <c r="D33" s="16">
        <v>8</v>
      </c>
      <c r="E33" s="16">
        <v>9</v>
      </c>
      <c r="F33" s="16"/>
      <c r="G33" s="16"/>
      <c r="H33" s="16"/>
      <c r="I33" s="16"/>
      <c r="J33" s="17">
        <v>3.98</v>
      </c>
      <c r="K33" s="17"/>
      <c r="L33" s="12">
        <v>0.59599999999999997</v>
      </c>
      <c r="M33" s="12">
        <v>0.89400000000000002</v>
      </c>
      <c r="N33" s="12">
        <v>1.49</v>
      </c>
      <c r="O33" s="12">
        <v>1</v>
      </c>
    </row>
    <row r="34" spans="1:15" ht="25.05" customHeight="1">
      <c r="A34" s="16">
        <v>33</v>
      </c>
      <c r="B34" s="16" t="s">
        <v>46</v>
      </c>
      <c r="C34" s="16">
        <v>1</v>
      </c>
      <c r="D34" s="16">
        <v>1</v>
      </c>
      <c r="E34" s="16">
        <v>3</v>
      </c>
      <c r="F34" s="16"/>
      <c r="G34" s="16"/>
      <c r="H34" s="16"/>
      <c r="I34" s="16"/>
      <c r="J34" s="17">
        <v>3.76</v>
      </c>
      <c r="K34" s="17"/>
      <c r="L34" s="12">
        <v>0.55200000000000005</v>
      </c>
      <c r="M34" s="12">
        <v>0.82799999999999996</v>
      </c>
      <c r="N34" s="12">
        <v>1.38</v>
      </c>
      <c r="O34" s="12">
        <v>1</v>
      </c>
    </row>
    <row r="35" spans="1:15" ht="25.05" customHeight="1">
      <c r="A35" s="16">
        <v>34</v>
      </c>
      <c r="B35" s="16" t="s">
        <v>47</v>
      </c>
      <c r="C35" s="16">
        <v>0</v>
      </c>
      <c r="D35" s="16">
        <v>1</v>
      </c>
      <c r="E35" s="16">
        <v>8</v>
      </c>
      <c r="F35" s="16"/>
      <c r="G35" s="16"/>
      <c r="H35" s="16"/>
      <c r="I35" s="16"/>
      <c r="J35" s="17">
        <v>3.76</v>
      </c>
      <c r="K35" s="17"/>
      <c r="L35" s="12">
        <v>0.55200000000000005</v>
      </c>
      <c r="M35" s="12">
        <v>0.82799999999999996</v>
      </c>
      <c r="N35" s="12">
        <v>1.38</v>
      </c>
      <c r="O35" s="12">
        <v>1</v>
      </c>
    </row>
    <row r="36" spans="1:15" ht="25.05" customHeight="1">
      <c r="A36" s="16">
        <v>35</v>
      </c>
      <c r="B36" s="16" t="s">
        <v>48</v>
      </c>
      <c r="C36" s="16">
        <v>48</v>
      </c>
      <c r="D36" s="16">
        <v>0</v>
      </c>
      <c r="E36" s="16">
        <v>3</v>
      </c>
      <c r="F36" s="16"/>
      <c r="G36" s="16"/>
      <c r="H36" s="16"/>
      <c r="I36" s="16"/>
      <c r="J36" s="17">
        <v>3.69</v>
      </c>
      <c r="K36" s="17"/>
      <c r="L36" s="12">
        <v>0.53800000000000003</v>
      </c>
      <c r="M36" s="12">
        <v>0.80700000000000005</v>
      </c>
      <c r="N36" s="12">
        <v>1.345</v>
      </c>
      <c r="O36" s="12">
        <v>1</v>
      </c>
    </row>
    <row r="37" spans="1:15" ht="25.05" customHeight="1">
      <c r="A37" s="16">
        <v>36</v>
      </c>
      <c r="B37" s="16" t="s">
        <v>49</v>
      </c>
      <c r="C37" s="16">
        <v>1600</v>
      </c>
      <c r="D37" s="16">
        <v>0</v>
      </c>
      <c r="E37" s="16">
        <v>8</v>
      </c>
      <c r="F37" s="16"/>
      <c r="G37" s="16"/>
      <c r="H37" s="16"/>
      <c r="I37" s="16"/>
      <c r="J37" s="17">
        <v>6.73</v>
      </c>
      <c r="K37" s="17"/>
      <c r="L37" s="12">
        <v>0.94599999999999995</v>
      </c>
      <c r="M37" s="12">
        <v>1.419</v>
      </c>
      <c r="N37" s="12">
        <v>2.3650000000000002</v>
      </c>
      <c r="O37" s="12">
        <v>2</v>
      </c>
    </row>
    <row r="38" spans="1:15" ht="25.05" customHeight="1">
      <c r="A38" s="16">
        <v>37</v>
      </c>
      <c r="B38" s="16" t="s">
        <v>50</v>
      </c>
      <c r="C38" s="16">
        <v>0</v>
      </c>
      <c r="D38" s="16">
        <v>0</v>
      </c>
      <c r="E38" s="16">
        <v>7</v>
      </c>
      <c r="F38" s="16"/>
      <c r="G38" s="16"/>
      <c r="H38" s="16"/>
      <c r="I38" s="16"/>
      <c r="J38" s="14">
        <v>7</v>
      </c>
      <c r="K38" s="14"/>
      <c r="L38" s="12">
        <v>1.2</v>
      </c>
      <c r="M38" s="12">
        <v>1.8</v>
      </c>
      <c r="N38" s="12">
        <v>3</v>
      </c>
      <c r="O38" s="12">
        <v>1</v>
      </c>
    </row>
    <row r="39" spans="1:15" ht="25.05" customHeight="1">
      <c r="A39" s="16">
        <v>38</v>
      </c>
      <c r="B39" s="16" t="s">
        <v>51</v>
      </c>
      <c r="C39" s="16">
        <v>0</v>
      </c>
      <c r="D39" s="16">
        <v>0</v>
      </c>
      <c r="E39" s="16">
        <v>4</v>
      </c>
      <c r="F39" s="16"/>
      <c r="G39" s="16"/>
      <c r="H39" s="16"/>
      <c r="I39" s="16"/>
      <c r="J39" s="14">
        <v>4</v>
      </c>
      <c r="K39" s="14"/>
      <c r="L39" s="12">
        <v>0.6</v>
      </c>
      <c r="M39" s="12">
        <v>0.9</v>
      </c>
      <c r="N39" s="12">
        <v>1.5</v>
      </c>
      <c r="O39" s="12">
        <v>1</v>
      </c>
    </row>
    <row r="40" spans="1:15" ht="25.05" customHeight="1">
      <c r="A40" s="16">
        <v>39</v>
      </c>
      <c r="B40" s="16" t="s">
        <v>52</v>
      </c>
      <c r="C40" s="16">
        <v>589</v>
      </c>
      <c r="D40" s="16">
        <v>0</v>
      </c>
      <c r="E40" s="16">
        <v>4</v>
      </c>
      <c r="F40" s="16"/>
      <c r="G40" s="16"/>
      <c r="H40" s="16"/>
      <c r="I40" s="16"/>
      <c r="J40" s="14">
        <v>3.87</v>
      </c>
      <c r="K40" s="14"/>
      <c r="L40" s="12">
        <v>0.57399999999999995</v>
      </c>
      <c r="M40" s="12">
        <v>0.86099999999999999</v>
      </c>
      <c r="N40" s="12">
        <v>1.4350000000000001</v>
      </c>
      <c r="O40" s="12">
        <v>1</v>
      </c>
    </row>
    <row r="41" spans="1:15" ht="25.05" customHeight="1">
      <c r="A41" s="16">
        <v>40</v>
      </c>
      <c r="B41" s="16" t="s">
        <v>53</v>
      </c>
      <c r="C41" s="16">
        <v>445</v>
      </c>
      <c r="D41" s="16">
        <v>0</v>
      </c>
      <c r="E41" s="16">
        <v>0</v>
      </c>
      <c r="F41" s="16"/>
      <c r="G41" s="16"/>
      <c r="H41" s="16"/>
      <c r="I41" s="16"/>
      <c r="J41" s="14">
        <v>4.05</v>
      </c>
      <c r="K41" s="14"/>
      <c r="L41" s="12">
        <v>0.61</v>
      </c>
      <c r="M41" s="12">
        <v>0.91500000000000004</v>
      </c>
      <c r="N41" s="12">
        <v>1.5249999999999999</v>
      </c>
      <c r="O41" s="12">
        <v>1</v>
      </c>
    </row>
    <row r="42" spans="1:15" ht="25.05" customHeight="1">
      <c r="A42" s="16">
        <v>41</v>
      </c>
      <c r="B42" s="16" t="s">
        <v>54</v>
      </c>
      <c r="C42" s="16">
        <v>431</v>
      </c>
      <c r="D42" s="16">
        <v>12</v>
      </c>
      <c r="E42" s="16">
        <v>11</v>
      </c>
      <c r="F42" s="16"/>
      <c r="G42" s="16"/>
      <c r="H42" s="16"/>
      <c r="I42" s="16"/>
      <c r="J42" s="15">
        <v>5.21</v>
      </c>
      <c r="L42" s="12">
        <v>0.64200000000000002</v>
      </c>
      <c r="M42" s="12">
        <v>0.96299999999999997</v>
      </c>
      <c r="N42" s="12">
        <v>1.605</v>
      </c>
      <c r="O42" s="12">
        <v>2</v>
      </c>
    </row>
    <row r="43" spans="1:15" ht="25.05" customHeight="1">
      <c r="A43" s="16">
        <v>42</v>
      </c>
      <c r="B43" s="16" t="s">
        <v>55</v>
      </c>
      <c r="C43" s="16">
        <v>177</v>
      </c>
      <c r="D43" s="16">
        <v>0</v>
      </c>
      <c r="E43" s="16">
        <v>0</v>
      </c>
      <c r="F43" s="16"/>
      <c r="G43" s="16"/>
      <c r="H43" s="16"/>
      <c r="I43" s="16"/>
      <c r="J43" s="15">
        <v>4.1100000000000003</v>
      </c>
      <c r="L43" s="12">
        <v>0.82199999999999995</v>
      </c>
      <c r="M43" s="12">
        <v>1.2330000000000001</v>
      </c>
      <c r="N43" s="12">
        <v>2.0550000000000002</v>
      </c>
      <c r="O43" s="12">
        <v>0</v>
      </c>
    </row>
    <row r="44" spans="1:15" ht="30" customHeight="1">
      <c r="H44" s="12" t="s">
        <v>56</v>
      </c>
      <c r="J44" s="15">
        <v>0.85</v>
      </c>
    </row>
    <row r="45" spans="1:15" ht="30" customHeight="1">
      <c r="H45" s="12" t="s">
        <v>57</v>
      </c>
      <c r="J45" s="15">
        <v>21.143000000000001</v>
      </c>
    </row>
    <row r="46" spans="1:15" ht="30" customHeight="1">
      <c r="H46" s="12" t="s">
        <v>58</v>
      </c>
      <c r="J46" s="15">
        <v>0.45900000000000002</v>
      </c>
    </row>
    <row r="47" spans="1:15" ht="30" customHeight="1">
      <c r="H47" s="12" t="s">
        <v>59</v>
      </c>
      <c r="J47" s="15" t="s">
        <v>64</v>
      </c>
    </row>
    <row r="48" spans="1:15" ht="30" customHeight="1">
      <c r="H48" s="12" t="s">
        <v>60</v>
      </c>
      <c r="J48" s="15">
        <v>0.49</v>
      </c>
    </row>
    <row r="49" spans="8:10" ht="30" customHeight="1">
      <c r="H49" s="12" t="s">
        <v>61</v>
      </c>
      <c r="J49" s="15" t="s">
        <v>64</v>
      </c>
    </row>
    <row r="50" spans="8:10" ht="30" customHeight="1">
      <c r="H50" s="12" t="s">
        <v>62</v>
      </c>
      <c r="J50" s="15">
        <v>0.55500000000000005</v>
      </c>
    </row>
    <row r="51" spans="8:10" ht="30" customHeight="1">
      <c r="H51" s="12" t="s">
        <v>63</v>
      </c>
      <c r="J51" s="15" t="s">
        <v>64</v>
      </c>
    </row>
    <row r="52" spans="8:10" ht="30" customHeight="1">
      <c r="H52" s="12" t="s">
        <v>65</v>
      </c>
      <c r="J52" s="15">
        <v>0.71399999999999997</v>
      </c>
    </row>
    <row r="53" spans="8:10" ht="30" customHeight="1">
      <c r="H53" s="12" t="s">
        <v>66</v>
      </c>
      <c r="J53" s="15">
        <v>1.044</v>
      </c>
    </row>
    <row r="54" spans="8:10" ht="30" customHeight="1">
      <c r="H54" s="12" t="s">
        <v>67</v>
      </c>
      <c r="J54" s="15">
        <v>0.998</v>
      </c>
    </row>
    <row r="55" spans="8:10" ht="30" customHeight="1">
      <c r="H55" s="12" t="s">
        <v>68</v>
      </c>
      <c r="J55" s="15">
        <v>1.3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高弘 龙</cp:lastModifiedBy>
  <dcterms:created xsi:type="dcterms:W3CDTF">2015-06-05T18:19:34Z</dcterms:created>
  <dcterms:modified xsi:type="dcterms:W3CDTF">2026-06-25T08:44:47Z</dcterms:modified>
</cp:coreProperties>
</file>