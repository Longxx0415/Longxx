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6522\Desktop\新建文件夹\"/>
    </mc:Choice>
  </mc:AlternateContent>
  <xr:revisionPtr revIDLastSave="0" documentId="13_ncr:1_{11767806-4D30-4741-8121-1C7E0F3CD58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不含组织员" sheetId="1" r:id="rId1"/>
    <sheet name="含组织员" sheetId="2" r:id="rId2"/>
  </sheets>
  <definedNames>
    <definedName name="_xlnm._FilterDatabase" localSheetId="0" hidden="1">不含组织员!$A$1:$G$30</definedName>
    <definedName name="_xlnm._FilterDatabase" localSheetId="1" hidden="1">含组织员!$A$1:$K$39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F29" i="1"/>
  <c r="F28" i="1"/>
  <c r="G27" i="1"/>
  <c r="F27" i="1"/>
  <c r="G26" i="1"/>
  <c r="F26" i="1"/>
  <c r="G25" i="1"/>
  <c r="F25" i="1"/>
  <c r="G24" i="1"/>
  <c r="F24" i="1"/>
  <c r="F23" i="1"/>
  <c r="F22" i="1"/>
  <c r="F21" i="1"/>
  <c r="G20" i="1"/>
  <c r="F20" i="1"/>
  <c r="F19" i="1"/>
  <c r="G18" i="1"/>
  <c r="F18" i="1"/>
  <c r="F17" i="1"/>
  <c r="F16" i="1"/>
  <c r="F15" i="1"/>
  <c r="G14" i="1"/>
  <c r="F14" i="1"/>
  <c r="F13" i="1"/>
  <c r="F12" i="1"/>
  <c r="F11" i="1"/>
  <c r="F10" i="1"/>
  <c r="G9" i="1"/>
  <c r="F9" i="1"/>
  <c r="F8" i="1"/>
  <c r="F7" i="1"/>
  <c r="F6" i="1"/>
  <c r="F5" i="1"/>
  <c r="F4" i="1"/>
  <c r="F3" i="1"/>
  <c r="F2" i="1"/>
  <c r="G29" i="2"/>
  <c r="E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H17" i="2" l="1"/>
  <c r="H10" i="2"/>
  <c r="H13" i="2"/>
  <c r="H16" i="2"/>
  <c r="G30" i="1"/>
  <c r="G29" i="1"/>
  <c r="G16" i="1"/>
  <c r="G10" i="1"/>
  <c r="G8" i="1"/>
  <c r="G5" i="1"/>
  <c r="I20" i="2"/>
  <c r="I18" i="2"/>
  <c r="I17" i="2"/>
  <c r="I15" i="2"/>
  <c r="F29" i="2"/>
  <c r="I28" i="2"/>
  <c r="H28" i="2"/>
  <c r="I27" i="2"/>
  <c r="H27" i="2"/>
  <c r="I26" i="2"/>
  <c r="H26" i="2"/>
  <c r="I25" i="2"/>
  <c r="H20" i="2"/>
  <c r="H18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I23" i="2"/>
  <c r="I21" i="2"/>
  <c r="I11" i="2"/>
  <c r="G28" i="1"/>
  <c r="G22" i="1"/>
  <c r="G21" i="1"/>
  <c r="G19" i="1"/>
  <c r="G17" i="1"/>
  <c r="G15" i="1"/>
  <c r="G13" i="1"/>
  <c r="G7" i="1"/>
  <c r="H23" i="2"/>
  <c r="I19" i="2"/>
  <c r="H15" i="2"/>
  <c r="H12" i="2"/>
  <c r="G11" i="1"/>
  <c r="G3" i="1"/>
  <c r="H25" i="2"/>
  <c r="H22" i="2"/>
  <c r="H19" i="2"/>
  <c r="G23" i="1"/>
  <c r="G6" i="1"/>
  <c r="I24" i="2"/>
  <c r="I16" i="2"/>
  <c r="G12" i="1"/>
  <c r="G4" i="1"/>
  <c r="G2" i="1"/>
  <c r="H24" i="2"/>
  <c r="H21" i="2"/>
  <c r="I13" i="2"/>
  <c r="I10" i="2"/>
  <c r="H11" i="2"/>
  <c r="I22" i="2"/>
  <c r="H14" i="2"/>
  <c r="I12" i="2"/>
  <c r="I14" i="2"/>
</calcChain>
</file>

<file path=xl/sharedStrings.xml><?xml version="1.0" encoding="utf-8"?>
<sst xmlns="http://schemas.openxmlformats.org/spreadsheetml/2006/main" count="162" uniqueCount="87">
  <si>
    <t>序号</t>
  </si>
  <si>
    <t>单位</t>
  </si>
  <si>
    <t>学生数</t>
  </si>
  <si>
    <t>教师数</t>
  </si>
  <si>
    <t>管理岗人数</t>
  </si>
  <si>
    <t>拟合数
（参数1）</t>
  </si>
  <si>
    <t>拟合数
（参数2）</t>
  </si>
  <si>
    <t>吻合度</t>
  </si>
  <si>
    <t>差额</t>
  </si>
  <si>
    <t>本+研+师_差值</t>
  </si>
  <si>
    <t>本+研+师+是否公课_预测</t>
  </si>
  <si>
    <t>本+研+师+是否公课_差值</t>
  </si>
  <si>
    <t>本+研+师+公课数量_预测</t>
  </si>
  <si>
    <t>本+研+师+公课数量_差值</t>
  </si>
  <si>
    <t>本+研+师+公课学分_预测</t>
  </si>
  <si>
    <t>本+研+师+公课学分_差值</t>
  </si>
  <si>
    <t>本+研+师+留+公课学分_预测</t>
  </si>
  <si>
    <t>本+研+师+留+公课学分_差值</t>
  </si>
  <si>
    <t>本+研+师+留+公课数量_预测</t>
  </si>
  <si>
    <t>本+研+师+留+公课数量_差值</t>
  </si>
  <si>
    <t>本+研+师+长留+公课数量_预测</t>
  </si>
  <si>
    <t>本+研+师+长留+公课数量_差值</t>
  </si>
  <si>
    <t>本+研+师+长留+公课学分_预测</t>
  </si>
  <si>
    <t>本+研+师+长留+公课学分_差值</t>
  </si>
  <si>
    <t>本+研+师+留+是否公课_预测</t>
  </si>
  <si>
    <t>本+研+师+留+是否公课_差值</t>
  </si>
  <si>
    <t>本+研+师+长留_预测</t>
  </si>
  <si>
    <t>本+研+师+长留_差值</t>
  </si>
  <si>
    <t>本+研+师+长留+是否公课_预测</t>
  </si>
  <si>
    <t>本+研+师+长留+是否公课_差值</t>
  </si>
  <si>
    <t>本+研+师+留_预测</t>
  </si>
  <si>
    <t>本+研+师+留_差值</t>
  </si>
  <si>
    <t>折合学生数+是否公课_预测</t>
  </si>
  <si>
    <t>折合学生数+是否公课_差值</t>
  </si>
  <si>
    <t>折合学生数+公课数量_预测</t>
  </si>
  <si>
    <t>折合学生数+公课数量_差值</t>
  </si>
  <si>
    <t>折合学生数+公课学分_预测</t>
  </si>
  <si>
    <t>折合学生数+公课学分_差值</t>
  </si>
  <si>
    <t>折合学生数_预测</t>
  </si>
  <si>
    <t>折合学生数_差值</t>
  </si>
  <si>
    <t>土木工程学院</t>
  </si>
  <si>
    <t>测绘与地理信息学院</t>
  </si>
  <si>
    <t>建筑与城市规划学院</t>
  </si>
  <si>
    <t>经济与管理学院</t>
  </si>
  <si>
    <t>机械工程与机器人学院</t>
  </si>
  <si>
    <t>环境科学与工程学院，联合国环境规划署-同济大学环境与可持续发展学院</t>
  </si>
  <si>
    <t>电子与信息工程学院</t>
  </si>
  <si>
    <t>材料科学与工程学院</t>
  </si>
  <si>
    <t>计算机科学与技术学院</t>
  </si>
  <si>
    <t>数学科学学院</t>
  </si>
  <si>
    <t>物理科学与工程学院</t>
  </si>
  <si>
    <t>化学科学与工程学院</t>
  </si>
  <si>
    <t>海洋与地球科学学院</t>
  </si>
  <si>
    <t>航空航天与力学学院</t>
  </si>
  <si>
    <t>交通学院</t>
  </si>
  <si>
    <t>汽车与能源学院</t>
  </si>
  <si>
    <t>医学院</t>
  </si>
  <si>
    <t>生命科学与技术学院</t>
  </si>
  <si>
    <t>外国语学院</t>
  </si>
  <si>
    <t>国际文化交流学院</t>
  </si>
  <si>
    <t>设计创意学院</t>
  </si>
  <si>
    <t>艺术与传媒学院</t>
  </si>
  <si>
    <t>人文学院</t>
  </si>
  <si>
    <t>政治与国际关系学院</t>
  </si>
  <si>
    <t>法学院</t>
  </si>
  <si>
    <t>马克思主义学院</t>
  </si>
  <si>
    <t>体育部</t>
  </si>
  <si>
    <t>通过</t>
  </si>
  <si>
    <t>学院</t>
  </si>
  <si>
    <t>管理岗现状</t>
  </si>
  <si>
    <t>拟合数</t>
  </si>
  <si>
    <t>计算机科学与技术学院（软件学院）</t>
  </si>
  <si>
    <t>交通学院（铁道与城市轨道交通研究院），未减去磁浮中心的数量</t>
  </si>
  <si>
    <t>上海国际知识产权学院</t>
  </si>
  <si>
    <t>中德工程学院，职业技术教育学院</t>
  </si>
  <si>
    <t>体育部（国际足球学院）</t>
  </si>
  <si>
    <t>本+研+师_预测</t>
    <phoneticPr fontId="9" type="noConversion"/>
  </si>
  <si>
    <t>【汇总】R²</t>
  </si>
  <si>
    <t>【汇总】MAPE(%)</t>
  </si>
  <si>
    <t>【汇总】t_p(均值检验)</t>
  </si>
  <si>
    <t>【汇总】均值检验结论</t>
  </si>
  <si>
    <t>【汇总】F_p(方差检验)</t>
  </si>
  <si>
    <t>【汇总】方差检验结论</t>
  </si>
  <si>
    <t>【汇总】Levene_p</t>
  </si>
  <si>
    <t>【汇总】Levene检验结论</t>
  </si>
  <si>
    <t>【汇总】MAE_vs参数1</t>
  </si>
  <si>
    <t>【汇总】MAE_vs参数2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</si>
</sst>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_ "/>
    <numFmt numFmtId="177" formatCode="0.0%"/>
  </numFmts>
  <fonts count="13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黑体"/>
      <family val="3"/>
      <charset val="134"/>
    </font>
    <font>
      <b/>
      <sz val="11"/>
      <name val="宋体"/>
      <family val="3"/>
      <charset val="134"/>
    </font>
    <font>
      <sz val="11"/>
      <color theme="1"/>
      <name val="Times New Roman"/>
      <family val="1"/>
    </font>
    <font>
      <sz val="11"/>
      <color indexed="8"/>
      <name val="仿宋_GB2312"/>
      <charset val="134"/>
    </font>
    <font>
      <sz val="11"/>
      <name val="Times New Roman"/>
      <family val="1"/>
    </font>
    <font>
      <sz val="11"/>
      <color rgb="FF000000"/>
      <name val="仿宋_GB231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8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/>
    <xf numFmtId="0" fontId="3" fillId="0" borderId="0" xfId="0" applyFont="1" applyAlignment="1">
      <alignment horizontal="center" vertical="center" wrapText="1"/>
    </xf>
    <xf numFmtId="0" fontId="12" fillId="0" borderId="0" xfId="0" applyFont="1" applyAlignment="1"/>
    <xf numFmtId="0" fontId="8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0" fillId="3" borderId="0" xfId="0" applyFill="1">
      <alignment vertical="center"/>
    </xf>
    <xf numFmtId="0" fontId="11" fillId="3" borderId="0" xfId="0" applyFont="1" applyFill="1" applyAlignment="1"/>
    <xf numFmtId="0" fontId="12" fillId="3" borderId="0" xfId="0" applyFont="1" applyFill="1" applyAlignment="1"/>
    <xf numFmtId="0" fontId="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zoomScale="115" zoomScaleNormal="115" workbookViewId="0">
      <selection activeCell="G19" sqref="G19"/>
    </sheetView>
  </sheetViews>
  <sheetFormatPr defaultColWidth="9" defaultRowHeight="14.4"/>
  <cols>
    <col min="1" max="1" width="9" style="2" customWidth="1"/>
    <col min="2" max="2" width="42.77734375" style="2" customWidth="1"/>
    <col min="3" max="3" width="22" style="2" customWidth="1"/>
    <col min="4" max="4" width="9" style="2" customWidth="1"/>
    <col min="5" max="5" width="17.21875" style="2" customWidth="1"/>
    <col min="6" max="6" width="8.6640625" style="2" customWidth="1"/>
    <col min="7" max="7" width="24.77734375" style="13" customWidth="1"/>
    <col min="8" max="8" width="9" style="2" customWidth="1"/>
    <col min="9" max="16384" width="9" style="2"/>
  </cols>
  <sheetData>
    <row r="1" spans="1:7">
      <c r="A1" s="3" t="s">
        <v>0</v>
      </c>
      <c r="B1" s="3" t="s">
        <v>68</v>
      </c>
      <c r="C1" s="14" t="s">
        <v>69</v>
      </c>
      <c r="D1" s="15" t="s">
        <v>2</v>
      </c>
      <c r="E1" s="14" t="s">
        <v>3</v>
      </c>
      <c r="F1" s="1" t="s">
        <v>70</v>
      </c>
      <c r="G1" s="16" t="s">
        <v>7</v>
      </c>
    </row>
    <row r="2" spans="1:7" ht="33" customHeight="1">
      <c r="A2" s="6">
        <v>1</v>
      </c>
      <c r="B2" s="7" t="s">
        <v>40</v>
      </c>
      <c r="C2" s="17">
        <v>22</v>
      </c>
      <c r="D2" s="6">
        <v>3598</v>
      </c>
      <c r="E2" s="8">
        <v>273</v>
      </c>
      <c r="F2" s="12">
        <f t="shared" ref="F2:F30" si="0">1.1954+0.0021*D2+0.0502*E2</f>
        <v>22.4558</v>
      </c>
      <c r="G2" s="18">
        <f t="shared" ref="G2:G30" si="1">MIN(C2,F2)/MAX(C2,F2)</f>
        <v>0.97970234861372119</v>
      </c>
    </row>
    <row r="3" spans="1:7" ht="33" customHeight="1">
      <c r="A3" s="6">
        <v>2</v>
      </c>
      <c r="B3" s="7" t="s">
        <v>41</v>
      </c>
      <c r="C3" s="17">
        <v>4</v>
      </c>
      <c r="D3" s="6">
        <v>734</v>
      </c>
      <c r="E3" s="8">
        <v>57</v>
      </c>
      <c r="F3" s="12">
        <f t="shared" si="0"/>
        <v>5.5982000000000003</v>
      </c>
      <c r="G3" s="18">
        <f t="shared" si="1"/>
        <v>0.7145153799435533</v>
      </c>
    </row>
    <row r="4" spans="1:7" ht="33" customHeight="1">
      <c r="A4" s="6">
        <v>3</v>
      </c>
      <c r="B4" s="7" t="s">
        <v>42</v>
      </c>
      <c r="C4" s="17">
        <v>17</v>
      </c>
      <c r="D4" s="6">
        <v>2184</v>
      </c>
      <c r="E4" s="8">
        <v>232</v>
      </c>
      <c r="F4" s="12">
        <f t="shared" si="0"/>
        <v>17.4282</v>
      </c>
      <c r="G4" s="18">
        <f t="shared" si="1"/>
        <v>0.97543062393132962</v>
      </c>
    </row>
    <row r="5" spans="1:7" ht="33" customHeight="1">
      <c r="A5" s="6">
        <v>4</v>
      </c>
      <c r="B5" s="7" t="s">
        <v>43</v>
      </c>
      <c r="C5" s="17">
        <v>20</v>
      </c>
      <c r="D5" s="6">
        <v>2171</v>
      </c>
      <c r="E5" s="8">
        <v>168</v>
      </c>
      <c r="F5" s="12">
        <f t="shared" si="0"/>
        <v>14.1881</v>
      </c>
      <c r="G5" s="18">
        <f t="shared" si="1"/>
        <v>0.70940500000000006</v>
      </c>
    </row>
    <row r="6" spans="1:7" ht="33" customHeight="1">
      <c r="A6" s="6">
        <v>5</v>
      </c>
      <c r="B6" s="7" t="s">
        <v>44</v>
      </c>
      <c r="C6" s="17">
        <v>9</v>
      </c>
      <c r="D6" s="6">
        <v>1750</v>
      </c>
      <c r="E6" s="8">
        <v>62</v>
      </c>
      <c r="F6" s="12">
        <f t="shared" si="0"/>
        <v>7.9828000000000001</v>
      </c>
      <c r="G6" s="18">
        <f t="shared" si="1"/>
        <v>0.88697777777777775</v>
      </c>
    </row>
    <row r="7" spans="1:7" ht="33" customHeight="1">
      <c r="A7" s="6">
        <v>6</v>
      </c>
      <c r="B7" s="7" t="s">
        <v>45</v>
      </c>
      <c r="C7" s="17">
        <v>16</v>
      </c>
      <c r="D7" s="6">
        <v>1653</v>
      </c>
      <c r="E7" s="8">
        <v>162</v>
      </c>
      <c r="F7" s="12">
        <f t="shared" si="0"/>
        <v>12.799099999999999</v>
      </c>
      <c r="G7" s="18">
        <f t="shared" si="1"/>
        <v>0.79994374999999995</v>
      </c>
    </row>
    <row r="8" spans="1:7" ht="33" customHeight="1">
      <c r="A8" s="6">
        <v>7</v>
      </c>
      <c r="B8" s="7" t="s">
        <v>46</v>
      </c>
      <c r="C8" s="17">
        <v>14</v>
      </c>
      <c r="D8" s="6">
        <v>2886</v>
      </c>
      <c r="E8" s="8">
        <v>219</v>
      </c>
      <c r="F8" s="12">
        <f t="shared" si="0"/>
        <v>18.2498</v>
      </c>
      <c r="G8" s="18">
        <f t="shared" si="1"/>
        <v>0.76713169459391339</v>
      </c>
    </row>
    <row r="9" spans="1:7" ht="33" customHeight="1">
      <c r="A9" s="6">
        <v>8</v>
      </c>
      <c r="B9" s="7" t="s">
        <v>47</v>
      </c>
      <c r="C9" s="17">
        <v>8</v>
      </c>
      <c r="D9" s="6">
        <v>1179</v>
      </c>
      <c r="E9" s="8">
        <v>92</v>
      </c>
      <c r="F9" s="12">
        <f t="shared" si="0"/>
        <v>8.2896999999999998</v>
      </c>
      <c r="G9" s="18">
        <f t="shared" si="1"/>
        <v>0.96505301760015438</v>
      </c>
    </row>
    <row r="10" spans="1:7" ht="33" customHeight="1">
      <c r="A10" s="6">
        <v>9</v>
      </c>
      <c r="B10" s="7" t="s">
        <v>71</v>
      </c>
      <c r="C10" s="17">
        <v>10</v>
      </c>
      <c r="D10" s="6">
        <v>2307</v>
      </c>
      <c r="E10" s="8">
        <v>124</v>
      </c>
      <c r="F10" s="12">
        <f t="shared" si="0"/>
        <v>12.264900000000001</v>
      </c>
      <c r="G10" s="18">
        <f t="shared" si="1"/>
        <v>0.81533481724270063</v>
      </c>
    </row>
    <row r="11" spans="1:7" ht="33" customHeight="1">
      <c r="A11" s="6">
        <v>10</v>
      </c>
      <c r="B11" s="7" t="s">
        <v>49</v>
      </c>
      <c r="C11" s="17">
        <v>5</v>
      </c>
      <c r="D11" s="6">
        <v>724</v>
      </c>
      <c r="E11" s="8">
        <v>82</v>
      </c>
      <c r="F11" s="12">
        <f t="shared" si="0"/>
        <v>6.8322000000000003</v>
      </c>
      <c r="G11" s="18">
        <f t="shared" si="1"/>
        <v>0.73182869353941626</v>
      </c>
    </row>
    <row r="12" spans="1:7" ht="33" customHeight="1">
      <c r="A12" s="6">
        <v>11</v>
      </c>
      <c r="B12" s="7" t="s">
        <v>50</v>
      </c>
      <c r="C12" s="17">
        <v>5</v>
      </c>
      <c r="D12" s="6">
        <v>1033</v>
      </c>
      <c r="E12" s="8">
        <v>110</v>
      </c>
      <c r="F12" s="12">
        <f t="shared" si="0"/>
        <v>8.8867000000000012</v>
      </c>
      <c r="G12" s="18">
        <f t="shared" si="1"/>
        <v>0.56263854974287408</v>
      </c>
    </row>
    <row r="13" spans="1:7" ht="33" customHeight="1">
      <c r="A13" s="6">
        <v>12</v>
      </c>
      <c r="B13" s="7" t="s">
        <v>51</v>
      </c>
      <c r="C13" s="17">
        <v>6</v>
      </c>
      <c r="D13" s="6">
        <v>655</v>
      </c>
      <c r="E13" s="8">
        <v>65</v>
      </c>
      <c r="F13" s="12">
        <f t="shared" si="0"/>
        <v>5.8338999999999999</v>
      </c>
      <c r="G13" s="18">
        <f t="shared" si="1"/>
        <v>0.97231666666666661</v>
      </c>
    </row>
    <row r="14" spans="1:7" ht="33" customHeight="1">
      <c r="A14" s="6">
        <v>13</v>
      </c>
      <c r="B14" s="7" t="s">
        <v>52</v>
      </c>
      <c r="C14" s="17">
        <v>7</v>
      </c>
      <c r="D14" s="6">
        <v>569</v>
      </c>
      <c r="E14" s="8">
        <v>92</v>
      </c>
      <c r="F14" s="12">
        <f t="shared" si="0"/>
        <v>7.0087000000000002</v>
      </c>
      <c r="G14" s="18">
        <f t="shared" si="1"/>
        <v>0.99875868563356973</v>
      </c>
    </row>
    <row r="15" spans="1:7" ht="33" customHeight="1">
      <c r="A15" s="6">
        <v>14</v>
      </c>
      <c r="B15" s="7" t="s">
        <v>53</v>
      </c>
      <c r="C15" s="17">
        <v>6</v>
      </c>
      <c r="D15" s="6">
        <v>808</v>
      </c>
      <c r="E15" s="8">
        <v>80</v>
      </c>
      <c r="F15" s="12">
        <f t="shared" si="0"/>
        <v>6.9081999999999999</v>
      </c>
      <c r="G15" s="18">
        <f t="shared" si="1"/>
        <v>0.86853304768246431</v>
      </c>
    </row>
    <row r="16" spans="1:7" ht="33" customHeight="1">
      <c r="A16" s="6">
        <v>15</v>
      </c>
      <c r="B16" s="7" t="s">
        <v>72</v>
      </c>
      <c r="C16" s="17">
        <v>18</v>
      </c>
      <c r="D16" s="6">
        <v>2465</v>
      </c>
      <c r="E16" s="8">
        <v>192</v>
      </c>
      <c r="F16" s="12">
        <f t="shared" si="0"/>
        <v>16.010300000000001</v>
      </c>
      <c r="G16" s="18">
        <f t="shared" si="1"/>
        <v>0.88946111111111115</v>
      </c>
    </row>
    <row r="17" spans="1:7" ht="33" customHeight="1">
      <c r="A17" s="6">
        <v>16</v>
      </c>
      <c r="B17" s="7" t="s">
        <v>55</v>
      </c>
      <c r="C17" s="17">
        <v>9</v>
      </c>
      <c r="D17" s="6">
        <v>2153</v>
      </c>
      <c r="E17" s="8">
        <v>118</v>
      </c>
      <c r="F17" s="12">
        <f t="shared" si="0"/>
        <v>11.6403</v>
      </c>
      <c r="G17" s="18">
        <f t="shared" si="1"/>
        <v>0.77317594907347753</v>
      </c>
    </row>
    <row r="18" spans="1:7" ht="33" customHeight="1">
      <c r="A18" s="6">
        <v>17</v>
      </c>
      <c r="B18" s="7" t="s">
        <v>56</v>
      </c>
      <c r="C18" s="17">
        <v>19</v>
      </c>
      <c r="D18" s="6">
        <v>4130</v>
      </c>
      <c r="E18" s="8">
        <v>139</v>
      </c>
      <c r="F18" s="12">
        <f t="shared" si="0"/>
        <v>16.8462</v>
      </c>
      <c r="G18" s="18">
        <f t="shared" si="1"/>
        <v>0.8866421052631579</v>
      </c>
    </row>
    <row r="19" spans="1:7" ht="33" customHeight="1">
      <c r="A19" s="6">
        <v>18</v>
      </c>
      <c r="B19" s="7" t="s">
        <v>57</v>
      </c>
      <c r="C19" s="17">
        <v>7</v>
      </c>
      <c r="D19" s="6">
        <v>981</v>
      </c>
      <c r="E19" s="8">
        <v>109</v>
      </c>
      <c r="F19" s="12">
        <f t="shared" si="0"/>
        <v>8.7272999999999996</v>
      </c>
      <c r="G19" s="18">
        <f t="shared" si="1"/>
        <v>0.80208082683074955</v>
      </c>
    </row>
    <row r="20" spans="1:7" ht="33" customHeight="1">
      <c r="A20" s="6">
        <v>19</v>
      </c>
      <c r="B20" s="7" t="s">
        <v>58</v>
      </c>
      <c r="C20" s="17">
        <v>11</v>
      </c>
      <c r="D20" s="6">
        <v>619</v>
      </c>
      <c r="E20" s="8">
        <v>148</v>
      </c>
      <c r="F20" s="12">
        <f t="shared" si="0"/>
        <v>9.9249000000000009</v>
      </c>
      <c r="G20" s="18">
        <f t="shared" si="1"/>
        <v>0.90226363636363649</v>
      </c>
    </row>
    <row r="21" spans="1:7" ht="33" customHeight="1">
      <c r="A21" s="6">
        <v>20</v>
      </c>
      <c r="B21" s="7" t="s">
        <v>59</v>
      </c>
      <c r="C21" s="17">
        <v>4</v>
      </c>
      <c r="D21" s="6">
        <v>122</v>
      </c>
      <c r="E21" s="8">
        <v>24</v>
      </c>
      <c r="F21" s="12">
        <f t="shared" si="0"/>
        <v>2.6564000000000001</v>
      </c>
      <c r="G21" s="18">
        <f t="shared" si="1"/>
        <v>0.66410000000000002</v>
      </c>
    </row>
    <row r="22" spans="1:7" ht="33" customHeight="1">
      <c r="A22" s="6">
        <v>21</v>
      </c>
      <c r="B22" s="7" t="s">
        <v>60</v>
      </c>
      <c r="C22" s="17">
        <v>8</v>
      </c>
      <c r="D22" s="6">
        <v>792</v>
      </c>
      <c r="E22" s="8">
        <v>55</v>
      </c>
      <c r="F22" s="12">
        <f t="shared" si="0"/>
        <v>5.6196000000000002</v>
      </c>
      <c r="G22" s="18">
        <f t="shared" si="1"/>
        <v>0.70245000000000002</v>
      </c>
    </row>
    <row r="23" spans="1:7" ht="33" customHeight="1">
      <c r="A23" s="6">
        <v>22</v>
      </c>
      <c r="B23" s="7" t="s">
        <v>61</v>
      </c>
      <c r="C23" s="17">
        <v>6</v>
      </c>
      <c r="D23" s="6">
        <v>876</v>
      </c>
      <c r="E23" s="8">
        <v>75</v>
      </c>
      <c r="F23" s="12">
        <f t="shared" si="0"/>
        <v>6.8000000000000007</v>
      </c>
      <c r="G23" s="18">
        <f t="shared" si="1"/>
        <v>0.88235294117647045</v>
      </c>
    </row>
    <row r="24" spans="1:7" ht="33" customHeight="1">
      <c r="A24" s="6">
        <v>23</v>
      </c>
      <c r="B24" s="7" t="s">
        <v>62</v>
      </c>
      <c r="C24" s="17">
        <v>6</v>
      </c>
      <c r="D24" s="6">
        <v>617</v>
      </c>
      <c r="E24" s="8">
        <v>92</v>
      </c>
      <c r="F24" s="12">
        <f t="shared" si="0"/>
        <v>7.1095000000000006</v>
      </c>
      <c r="G24" s="18">
        <f t="shared" si="1"/>
        <v>0.84394120542935502</v>
      </c>
    </row>
    <row r="25" spans="1:7" ht="33" customHeight="1">
      <c r="A25" s="6">
        <v>24</v>
      </c>
      <c r="B25" s="7" t="s">
        <v>63</v>
      </c>
      <c r="C25" s="17">
        <v>2</v>
      </c>
      <c r="D25" s="6">
        <v>415</v>
      </c>
      <c r="E25" s="8">
        <v>46</v>
      </c>
      <c r="F25" s="12">
        <f t="shared" si="0"/>
        <v>4.3761000000000001</v>
      </c>
      <c r="G25" s="18">
        <f t="shared" si="1"/>
        <v>0.45702794725897489</v>
      </c>
    </row>
    <row r="26" spans="1:7" ht="33" customHeight="1">
      <c r="A26" s="6">
        <v>25</v>
      </c>
      <c r="B26" s="7" t="s">
        <v>64</v>
      </c>
      <c r="C26" s="17">
        <v>6</v>
      </c>
      <c r="D26" s="6">
        <v>562</v>
      </c>
      <c r="E26" s="8">
        <v>52</v>
      </c>
      <c r="F26" s="12">
        <f t="shared" si="0"/>
        <v>4.9860000000000007</v>
      </c>
      <c r="G26" s="18">
        <f t="shared" si="1"/>
        <v>0.83100000000000007</v>
      </c>
    </row>
    <row r="27" spans="1:7" ht="33" customHeight="1">
      <c r="A27" s="6">
        <v>26</v>
      </c>
      <c r="B27" s="7" t="s">
        <v>73</v>
      </c>
      <c r="C27" s="17">
        <v>3</v>
      </c>
      <c r="D27" s="6">
        <v>244</v>
      </c>
      <c r="E27" s="8">
        <v>29</v>
      </c>
      <c r="F27" s="12">
        <f t="shared" si="0"/>
        <v>3.1635999999999997</v>
      </c>
      <c r="G27" s="18">
        <f t="shared" si="1"/>
        <v>0.94828676191680372</v>
      </c>
    </row>
    <row r="28" spans="1:7" ht="33" customHeight="1">
      <c r="A28" s="6">
        <v>27</v>
      </c>
      <c r="B28" s="7" t="s">
        <v>65</v>
      </c>
      <c r="C28" s="17">
        <v>7</v>
      </c>
      <c r="D28" s="6">
        <v>320</v>
      </c>
      <c r="E28" s="8">
        <v>67</v>
      </c>
      <c r="F28" s="12">
        <f t="shared" si="0"/>
        <v>5.2308000000000003</v>
      </c>
      <c r="G28" s="18">
        <f t="shared" si="1"/>
        <v>0.74725714285714295</v>
      </c>
    </row>
    <row r="29" spans="1:7" ht="33" customHeight="1">
      <c r="A29" s="6">
        <v>28</v>
      </c>
      <c r="B29" s="7" t="s">
        <v>74</v>
      </c>
      <c r="C29" s="17">
        <v>4</v>
      </c>
      <c r="D29" s="6">
        <v>734</v>
      </c>
      <c r="E29" s="8">
        <v>26</v>
      </c>
      <c r="F29" s="12">
        <f t="shared" si="0"/>
        <v>4.0419999999999998</v>
      </c>
      <c r="G29" s="18">
        <f t="shared" si="1"/>
        <v>0.9896091044037606</v>
      </c>
    </row>
    <row r="30" spans="1:7" ht="33" customHeight="1">
      <c r="A30" s="6">
        <v>29</v>
      </c>
      <c r="B30" s="7" t="s">
        <v>75</v>
      </c>
      <c r="C30" s="17">
        <v>10</v>
      </c>
      <c r="D30" s="6">
        <v>344</v>
      </c>
      <c r="E30" s="8">
        <v>93</v>
      </c>
      <c r="F30" s="12">
        <f t="shared" si="0"/>
        <v>6.5864000000000003</v>
      </c>
      <c r="G30" s="18">
        <f t="shared" si="1"/>
        <v>0.65864</v>
      </c>
    </row>
  </sheetData>
  <autoFilter ref="A1:G30" xr:uid="{00000000-0009-0000-0000-000000000000}">
    <sortState xmlns:xlrd2="http://schemas.microsoft.com/office/spreadsheetml/2017/richdata2" ref="A2:G30">
      <sortCondition ref="A1"/>
    </sortState>
  </autoFilter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42"/>
  <sheetViews>
    <sheetView tabSelected="1" zoomScale="70" zoomScaleNormal="70" workbookViewId="0">
      <selection activeCell="L8" sqref="L8"/>
    </sheetView>
  </sheetViews>
  <sheetFormatPr defaultColWidth="9" defaultRowHeight="14.4"/>
  <cols>
    <col min="1" max="1" width="9" style="2" customWidth="1"/>
    <col min="2" max="2" width="42.77734375" style="2" customWidth="1"/>
    <col min="3" max="3" width="9" style="2" customWidth="1"/>
    <col min="4" max="4" width="17.21875" style="2" customWidth="1"/>
    <col min="5" max="5" width="16.109375" style="2" customWidth="1"/>
    <col min="6" max="7" width="17.33203125" style="2" customWidth="1"/>
    <col min="8" max="8" width="9" style="2" customWidth="1"/>
    <col min="9" max="9" width="13" style="2" customWidth="1"/>
    <col min="10" max="11" width="9" style="2" customWidth="1"/>
    <col min="12" max="13" width="9" style="30" customWidth="1"/>
    <col min="14" max="19" width="9" style="2"/>
    <col min="20" max="21" width="9" style="30"/>
    <col min="22" max="16384" width="9" style="2"/>
  </cols>
  <sheetData>
    <row r="1" spans="1:41" s="1" customFormat="1" ht="48.6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9" t="s">
        <v>5</v>
      </c>
      <c r="G1" s="19" t="s">
        <v>6</v>
      </c>
      <c r="H1" s="5" t="s">
        <v>7</v>
      </c>
      <c r="I1" s="5" t="s">
        <v>8</v>
      </c>
      <c r="J1" s="22" t="s">
        <v>76</v>
      </c>
      <c r="K1" s="20" t="s">
        <v>9</v>
      </c>
      <c r="L1" s="25" t="s">
        <v>10</v>
      </c>
      <c r="M1" s="25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5" t="s">
        <v>18</v>
      </c>
      <c r="U1" s="25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0" t="s">
        <v>27</v>
      </c>
      <c r="AD1" s="20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0" t="s">
        <v>34</v>
      </c>
      <c r="AK1" s="20" t="s">
        <v>35</v>
      </c>
      <c r="AL1" s="20" t="s">
        <v>36</v>
      </c>
      <c r="AM1" s="20" t="s">
        <v>37</v>
      </c>
      <c r="AN1" s="20" t="s">
        <v>38</v>
      </c>
      <c r="AO1" s="20" t="s">
        <v>39</v>
      </c>
    </row>
    <row r="2" spans="1:41" ht="33" customHeight="1">
      <c r="A2" s="6">
        <v>1</v>
      </c>
      <c r="B2" s="7" t="s">
        <v>40</v>
      </c>
      <c r="C2" s="6">
        <v>3598</v>
      </c>
      <c r="D2" s="8">
        <v>273</v>
      </c>
      <c r="E2" s="8">
        <v>27</v>
      </c>
      <c r="F2" s="9">
        <f t="shared" ref="F2:F28" si="0">1.35179+0.002709*C2+0.054776*D2</f>
        <v>26.052619999999997</v>
      </c>
      <c r="G2" s="9">
        <v>25</v>
      </c>
      <c r="H2" s="10">
        <f t="shared" ref="H2:H28" si="1">MIN(E2,F2)/MAX(E2,F2)</f>
        <v>0.9649118518518518</v>
      </c>
      <c r="I2" s="9">
        <f t="shared" ref="I2:I28" si="2">F2-E2</f>
        <v>-0.94738000000000255</v>
      </c>
      <c r="J2">
        <v>26.33</v>
      </c>
      <c r="K2">
        <v>0.28000000000000003</v>
      </c>
      <c r="L2" s="26">
        <v>26.68</v>
      </c>
      <c r="M2" s="26">
        <v>0.63</v>
      </c>
      <c r="N2">
        <v>26.18</v>
      </c>
      <c r="O2">
        <v>0.12</v>
      </c>
      <c r="P2">
        <v>26.27</v>
      </c>
      <c r="Q2">
        <v>0.21</v>
      </c>
      <c r="R2">
        <v>26.13</v>
      </c>
      <c r="S2">
        <v>7.0000000000000007E-2</v>
      </c>
      <c r="T2" s="26">
        <v>26.05</v>
      </c>
      <c r="U2" s="26">
        <v>-0.01</v>
      </c>
      <c r="V2">
        <v>26.47</v>
      </c>
      <c r="W2">
        <v>0.41</v>
      </c>
      <c r="X2">
        <v>26.55</v>
      </c>
      <c r="Y2">
        <v>0.5</v>
      </c>
      <c r="Z2">
        <v>26.5</v>
      </c>
      <c r="AA2">
        <v>0.45</v>
      </c>
      <c r="AB2">
        <v>26.54</v>
      </c>
      <c r="AC2">
        <v>0.49</v>
      </c>
      <c r="AD2">
        <v>26.64</v>
      </c>
      <c r="AE2">
        <v>0.57999999999999996</v>
      </c>
      <c r="AF2">
        <v>26.2</v>
      </c>
      <c r="AG2">
        <v>0.15</v>
      </c>
      <c r="AH2">
        <v>25.51</v>
      </c>
      <c r="AI2">
        <v>-0.54</v>
      </c>
      <c r="AJ2">
        <v>23.95</v>
      </c>
      <c r="AK2">
        <v>-2.1</v>
      </c>
      <c r="AL2">
        <v>24.04</v>
      </c>
      <c r="AM2">
        <v>-2.0099999999999998</v>
      </c>
      <c r="AN2">
        <v>24.26</v>
      </c>
      <c r="AO2">
        <v>-1.79</v>
      </c>
    </row>
    <row r="3" spans="1:41" ht="33" customHeight="1">
      <c r="A3" s="6">
        <v>2</v>
      </c>
      <c r="B3" s="7" t="s">
        <v>41</v>
      </c>
      <c r="C3" s="6">
        <v>734</v>
      </c>
      <c r="D3" s="8">
        <v>57</v>
      </c>
      <c r="E3" s="8">
        <v>5</v>
      </c>
      <c r="F3" s="9">
        <f t="shared" si="0"/>
        <v>6.4624280000000001</v>
      </c>
      <c r="G3" s="9">
        <v>7</v>
      </c>
      <c r="H3" s="10">
        <f t="shared" si="1"/>
        <v>0.77370301069505143</v>
      </c>
      <c r="I3" s="9">
        <f t="shared" si="2"/>
        <v>1.4624280000000001</v>
      </c>
      <c r="J3">
        <v>6.39</v>
      </c>
      <c r="K3">
        <v>-7.0000000000000007E-2</v>
      </c>
      <c r="L3" s="26">
        <v>6.2</v>
      </c>
      <c r="M3" s="26">
        <v>-0.27</v>
      </c>
      <c r="N3">
        <v>6.54</v>
      </c>
      <c r="O3">
        <v>0.08</v>
      </c>
      <c r="P3">
        <v>6.64</v>
      </c>
      <c r="Q3">
        <v>0.17</v>
      </c>
      <c r="R3">
        <v>6.46</v>
      </c>
      <c r="S3">
        <v>0</v>
      </c>
      <c r="T3" s="26">
        <v>6.38</v>
      </c>
      <c r="U3" s="26">
        <v>-0.08</v>
      </c>
      <c r="V3">
        <v>6.38</v>
      </c>
      <c r="W3">
        <v>-0.09</v>
      </c>
      <c r="X3">
        <v>6.47</v>
      </c>
      <c r="Y3">
        <v>0</v>
      </c>
      <c r="Z3">
        <v>6.28</v>
      </c>
      <c r="AA3">
        <v>-0.19</v>
      </c>
      <c r="AB3">
        <v>6.31</v>
      </c>
      <c r="AC3">
        <v>-0.15</v>
      </c>
      <c r="AD3">
        <v>6.24</v>
      </c>
      <c r="AE3">
        <v>-0.23</v>
      </c>
      <c r="AF3">
        <v>6.18</v>
      </c>
      <c r="AG3">
        <v>-0.28000000000000003</v>
      </c>
      <c r="AH3">
        <v>7.33</v>
      </c>
      <c r="AI3">
        <v>0.86</v>
      </c>
      <c r="AJ3">
        <v>7.09</v>
      </c>
      <c r="AK3">
        <v>0.63</v>
      </c>
      <c r="AL3">
        <v>6.98</v>
      </c>
      <c r="AM3">
        <v>0.52</v>
      </c>
      <c r="AN3">
        <v>7.26</v>
      </c>
      <c r="AO3">
        <v>0.8</v>
      </c>
    </row>
    <row r="4" spans="1:41" ht="33" customHeight="1">
      <c r="A4" s="6">
        <v>3</v>
      </c>
      <c r="B4" s="7" t="s">
        <v>42</v>
      </c>
      <c r="C4" s="6">
        <v>2184</v>
      </c>
      <c r="D4" s="8">
        <v>232</v>
      </c>
      <c r="E4" s="8">
        <v>20</v>
      </c>
      <c r="F4" s="9">
        <f t="shared" si="0"/>
        <v>19.976278000000001</v>
      </c>
      <c r="G4" s="9">
        <v>20</v>
      </c>
      <c r="H4" s="10">
        <f t="shared" si="1"/>
        <v>0.99881390000000003</v>
      </c>
      <c r="I4" s="9">
        <f t="shared" si="2"/>
        <v>-2.3721999999999355E-2</v>
      </c>
      <c r="J4">
        <v>20.84</v>
      </c>
      <c r="K4">
        <v>0.87</v>
      </c>
      <c r="L4" s="26">
        <v>20.27</v>
      </c>
      <c r="M4" s="26">
        <v>0.28999999999999998</v>
      </c>
      <c r="N4">
        <v>20.68</v>
      </c>
      <c r="O4">
        <v>0.71</v>
      </c>
      <c r="P4">
        <v>20.69</v>
      </c>
      <c r="Q4">
        <v>0.72</v>
      </c>
      <c r="R4">
        <v>21.62</v>
      </c>
      <c r="S4">
        <v>1.64</v>
      </c>
      <c r="T4" s="26">
        <v>21.59</v>
      </c>
      <c r="U4" s="26">
        <v>1.61</v>
      </c>
      <c r="V4">
        <v>21.57</v>
      </c>
      <c r="W4">
        <v>1.6</v>
      </c>
      <c r="X4">
        <v>21.57</v>
      </c>
      <c r="Y4">
        <v>1.59</v>
      </c>
      <c r="Z4">
        <v>20.94</v>
      </c>
      <c r="AA4">
        <v>0.97</v>
      </c>
      <c r="AB4">
        <v>21.72</v>
      </c>
      <c r="AC4">
        <v>1.74</v>
      </c>
      <c r="AD4">
        <v>21.23</v>
      </c>
      <c r="AE4">
        <v>1.26</v>
      </c>
      <c r="AF4">
        <v>21.25</v>
      </c>
      <c r="AG4">
        <v>1.28</v>
      </c>
      <c r="AH4">
        <v>17.57</v>
      </c>
      <c r="AI4">
        <v>-2.41</v>
      </c>
      <c r="AJ4">
        <v>18.12</v>
      </c>
      <c r="AK4">
        <v>-1.86</v>
      </c>
      <c r="AL4">
        <v>18.36</v>
      </c>
      <c r="AM4">
        <v>-1.61</v>
      </c>
      <c r="AN4">
        <v>17.13</v>
      </c>
      <c r="AO4">
        <v>-2.84</v>
      </c>
    </row>
    <row r="5" spans="1:41" ht="33" customHeight="1">
      <c r="A5" s="6">
        <v>4</v>
      </c>
      <c r="B5" s="7" t="s">
        <v>43</v>
      </c>
      <c r="C5" s="6">
        <v>2171</v>
      </c>
      <c r="D5" s="8">
        <v>168</v>
      </c>
      <c r="E5" s="8">
        <v>22</v>
      </c>
      <c r="F5" s="9">
        <f t="shared" si="0"/>
        <v>16.435397000000002</v>
      </c>
      <c r="G5" s="9">
        <v>16</v>
      </c>
      <c r="H5" s="10">
        <f t="shared" si="1"/>
        <v>0.7470635000000001</v>
      </c>
      <c r="I5" s="9">
        <f t="shared" si="2"/>
        <v>-5.5646029999999982</v>
      </c>
      <c r="J5">
        <v>17.03</v>
      </c>
      <c r="K5">
        <v>0.6</v>
      </c>
      <c r="L5" s="26">
        <v>17.63</v>
      </c>
      <c r="M5" s="26">
        <v>1.2</v>
      </c>
      <c r="N5">
        <v>16.989999999999998</v>
      </c>
      <c r="O5">
        <v>0.56000000000000005</v>
      </c>
      <c r="P5">
        <v>16.98</v>
      </c>
      <c r="Q5">
        <v>0.54</v>
      </c>
      <c r="R5">
        <v>19.07</v>
      </c>
      <c r="S5">
        <v>2.64</v>
      </c>
      <c r="T5" s="26">
        <v>19.170000000000002</v>
      </c>
      <c r="U5" s="26">
        <v>2.73</v>
      </c>
      <c r="V5">
        <v>19.52</v>
      </c>
      <c r="W5">
        <v>3.09</v>
      </c>
      <c r="X5">
        <v>19.440000000000001</v>
      </c>
      <c r="Y5">
        <v>3</v>
      </c>
      <c r="Z5">
        <v>19.940000000000001</v>
      </c>
      <c r="AA5">
        <v>3.5</v>
      </c>
      <c r="AB5">
        <v>19.79</v>
      </c>
      <c r="AC5">
        <v>3.36</v>
      </c>
      <c r="AD5">
        <v>20</v>
      </c>
      <c r="AE5">
        <v>3.56</v>
      </c>
      <c r="AF5">
        <v>20.13</v>
      </c>
      <c r="AG5">
        <v>3.7</v>
      </c>
      <c r="AH5">
        <v>16.07</v>
      </c>
      <c r="AI5">
        <v>-0.37</v>
      </c>
      <c r="AJ5">
        <v>17.82</v>
      </c>
      <c r="AK5">
        <v>1.38</v>
      </c>
      <c r="AL5">
        <v>18.03</v>
      </c>
      <c r="AM5">
        <v>1.59</v>
      </c>
      <c r="AN5">
        <v>17.05</v>
      </c>
      <c r="AO5">
        <v>0.61</v>
      </c>
    </row>
    <row r="6" spans="1:41" ht="33" customHeight="1">
      <c r="A6" s="6">
        <v>5</v>
      </c>
      <c r="B6" s="7" t="s">
        <v>44</v>
      </c>
      <c r="C6" s="6">
        <v>1750</v>
      </c>
      <c r="D6" s="8">
        <v>62</v>
      </c>
      <c r="E6" s="8">
        <v>11</v>
      </c>
      <c r="F6" s="9">
        <f t="shared" si="0"/>
        <v>9.4886520000000001</v>
      </c>
      <c r="G6" s="9">
        <v>9</v>
      </c>
      <c r="H6" s="10">
        <f t="shared" si="1"/>
        <v>0.8626047272727273</v>
      </c>
      <c r="I6" s="9">
        <f t="shared" si="2"/>
        <v>-1.5113479999999999</v>
      </c>
      <c r="J6">
        <v>8.9600000000000009</v>
      </c>
      <c r="K6">
        <v>-0.52</v>
      </c>
      <c r="L6" s="26">
        <v>9.15</v>
      </c>
      <c r="M6" s="26">
        <v>-0.33</v>
      </c>
      <c r="N6">
        <v>8.85</v>
      </c>
      <c r="O6">
        <v>-0.64</v>
      </c>
      <c r="P6">
        <v>8.84</v>
      </c>
      <c r="Q6">
        <v>-0.65</v>
      </c>
      <c r="R6">
        <v>8.84</v>
      </c>
      <c r="S6">
        <v>-0.65</v>
      </c>
      <c r="T6" s="26">
        <v>8.83</v>
      </c>
      <c r="U6" s="26">
        <v>-0.66</v>
      </c>
      <c r="V6">
        <v>8.86</v>
      </c>
      <c r="W6">
        <v>-0.63</v>
      </c>
      <c r="X6">
        <v>8.85</v>
      </c>
      <c r="Y6">
        <v>-0.63</v>
      </c>
      <c r="Z6">
        <v>8.7799999999999994</v>
      </c>
      <c r="AA6">
        <v>-0.71</v>
      </c>
      <c r="AB6">
        <v>8.8800000000000008</v>
      </c>
      <c r="AC6">
        <v>-0.61</v>
      </c>
      <c r="AD6">
        <v>8.8000000000000007</v>
      </c>
      <c r="AE6">
        <v>-0.69</v>
      </c>
      <c r="AF6">
        <v>8.84</v>
      </c>
      <c r="AG6">
        <v>-0.65</v>
      </c>
      <c r="AH6">
        <v>11.35</v>
      </c>
      <c r="AI6">
        <v>1.86</v>
      </c>
      <c r="AJ6">
        <v>10.79</v>
      </c>
      <c r="AK6">
        <v>1.3</v>
      </c>
      <c r="AL6">
        <v>10.25</v>
      </c>
      <c r="AM6">
        <v>0.77</v>
      </c>
      <c r="AN6">
        <v>11.89</v>
      </c>
      <c r="AO6">
        <v>2.4</v>
      </c>
    </row>
    <row r="7" spans="1:41" ht="33" customHeight="1">
      <c r="A7" s="6">
        <v>6</v>
      </c>
      <c r="B7" s="7" t="s">
        <v>45</v>
      </c>
      <c r="C7" s="6">
        <v>1653</v>
      </c>
      <c r="D7" s="8">
        <v>162</v>
      </c>
      <c r="E7" s="8">
        <v>17</v>
      </c>
      <c r="F7" s="9">
        <f t="shared" si="0"/>
        <v>14.703479</v>
      </c>
      <c r="G7" s="9">
        <v>15</v>
      </c>
      <c r="H7" s="10">
        <f t="shared" si="1"/>
        <v>0.86491052941176472</v>
      </c>
      <c r="I7" s="9">
        <f t="shared" si="2"/>
        <v>-2.2965210000000003</v>
      </c>
      <c r="J7">
        <v>16.21</v>
      </c>
      <c r="K7">
        <v>1.51</v>
      </c>
      <c r="L7" s="26">
        <v>16.18</v>
      </c>
      <c r="M7" s="26">
        <v>1.47</v>
      </c>
      <c r="N7">
        <v>16.149999999999999</v>
      </c>
      <c r="O7">
        <v>1.44</v>
      </c>
      <c r="P7">
        <v>16.190000000000001</v>
      </c>
      <c r="Q7">
        <v>1.49</v>
      </c>
      <c r="R7">
        <v>16.47</v>
      </c>
      <c r="S7">
        <v>1.77</v>
      </c>
      <c r="T7" s="26">
        <v>16.43</v>
      </c>
      <c r="U7" s="26">
        <v>1.73</v>
      </c>
      <c r="V7">
        <v>16.21</v>
      </c>
      <c r="W7">
        <v>1.51</v>
      </c>
      <c r="X7">
        <v>16.25</v>
      </c>
      <c r="Y7">
        <v>1.55</v>
      </c>
      <c r="Z7">
        <v>16.399999999999999</v>
      </c>
      <c r="AA7">
        <v>1.69</v>
      </c>
      <c r="AB7">
        <v>16.399999999999999</v>
      </c>
      <c r="AC7">
        <v>1.7</v>
      </c>
      <c r="AD7">
        <v>16.21</v>
      </c>
      <c r="AE7">
        <v>1.51</v>
      </c>
      <c r="AF7">
        <v>16.88</v>
      </c>
      <c r="AG7">
        <v>2.1800000000000002</v>
      </c>
      <c r="AH7">
        <v>14.21</v>
      </c>
      <c r="AI7">
        <v>-0.5</v>
      </c>
      <c r="AJ7">
        <v>14.46</v>
      </c>
      <c r="AK7">
        <v>-0.25</v>
      </c>
      <c r="AL7">
        <v>14.37</v>
      </c>
      <c r="AM7">
        <v>-0.33</v>
      </c>
      <c r="AN7">
        <v>13.17</v>
      </c>
      <c r="AO7">
        <v>-1.53</v>
      </c>
    </row>
    <row r="8" spans="1:41" ht="33" customHeight="1">
      <c r="A8" s="6">
        <v>7</v>
      </c>
      <c r="B8" s="7" t="s">
        <v>46</v>
      </c>
      <c r="C8" s="6">
        <v>2886</v>
      </c>
      <c r="D8" s="8">
        <v>219</v>
      </c>
      <c r="E8" s="8">
        <v>16</v>
      </c>
      <c r="F8" s="9">
        <f t="shared" si="0"/>
        <v>21.165908000000002</v>
      </c>
      <c r="G8" s="9">
        <v>21</v>
      </c>
      <c r="H8" s="10">
        <f t="shared" si="1"/>
        <v>0.75593260634034687</v>
      </c>
      <c r="I8" s="9">
        <f t="shared" si="2"/>
        <v>5.1659080000000017</v>
      </c>
      <c r="J8">
        <v>17.07</v>
      </c>
      <c r="K8">
        <v>-4.0999999999999996</v>
      </c>
      <c r="L8" s="26">
        <v>17.329999999999998</v>
      </c>
      <c r="M8" s="26">
        <v>-3.83</v>
      </c>
      <c r="N8">
        <v>17.579999999999998</v>
      </c>
      <c r="O8">
        <v>-3.58</v>
      </c>
      <c r="P8">
        <v>17.63</v>
      </c>
      <c r="Q8">
        <v>-3.54</v>
      </c>
      <c r="R8">
        <v>17.21</v>
      </c>
      <c r="S8">
        <v>-3.95</v>
      </c>
      <c r="T8" s="26">
        <v>17.190000000000001</v>
      </c>
      <c r="U8" s="26">
        <v>-3.98</v>
      </c>
      <c r="V8">
        <v>17.23</v>
      </c>
      <c r="W8">
        <v>-3.93</v>
      </c>
      <c r="X8">
        <v>17.29</v>
      </c>
      <c r="Y8">
        <v>-3.88</v>
      </c>
      <c r="Z8">
        <v>16.95</v>
      </c>
      <c r="AA8">
        <v>-4.22</v>
      </c>
      <c r="AB8">
        <v>16.88</v>
      </c>
      <c r="AC8">
        <v>-4.28</v>
      </c>
      <c r="AD8">
        <v>16.96</v>
      </c>
      <c r="AE8">
        <v>-4.21</v>
      </c>
      <c r="AF8">
        <v>16.510000000000002</v>
      </c>
      <c r="AG8">
        <v>-4.6500000000000004</v>
      </c>
      <c r="AH8">
        <v>19.12</v>
      </c>
      <c r="AI8">
        <v>-2.0499999999999998</v>
      </c>
      <c r="AJ8">
        <v>19.12</v>
      </c>
      <c r="AK8">
        <v>-2.0499999999999998</v>
      </c>
      <c r="AL8">
        <v>18.93</v>
      </c>
      <c r="AM8">
        <v>-2.2400000000000002</v>
      </c>
      <c r="AN8">
        <v>20.079999999999998</v>
      </c>
      <c r="AO8">
        <v>-1.0900000000000001</v>
      </c>
    </row>
    <row r="9" spans="1:41" ht="33" customHeight="1">
      <c r="A9" s="6">
        <v>8</v>
      </c>
      <c r="B9" s="7" t="s">
        <v>47</v>
      </c>
      <c r="C9" s="6">
        <v>1179</v>
      </c>
      <c r="D9" s="8">
        <v>92</v>
      </c>
      <c r="E9" s="8">
        <v>9</v>
      </c>
      <c r="F9" s="9">
        <f t="shared" si="0"/>
        <v>9.5850930000000005</v>
      </c>
      <c r="G9" s="9">
        <v>10</v>
      </c>
      <c r="H9" s="10">
        <f t="shared" si="1"/>
        <v>0.93895802575937448</v>
      </c>
      <c r="I9" s="9">
        <f t="shared" si="2"/>
        <v>0.58509300000000053</v>
      </c>
      <c r="J9">
        <v>9.41</v>
      </c>
      <c r="K9">
        <v>-0.17</v>
      </c>
      <c r="L9" s="26">
        <v>9.59</v>
      </c>
      <c r="M9" s="26">
        <v>0</v>
      </c>
      <c r="N9">
        <v>9.73</v>
      </c>
      <c r="O9">
        <v>0.14000000000000001</v>
      </c>
      <c r="P9">
        <v>9.82</v>
      </c>
      <c r="Q9">
        <v>0.24</v>
      </c>
      <c r="R9">
        <v>9.26</v>
      </c>
      <c r="S9">
        <v>-0.32</v>
      </c>
      <c r="T9" s="26">
        <v>9.17</v>
      </c>
      <c r="U9" s="26">
        <v>-0.42</v>
      </c>
      <c r="V9">
        <v>9.2899999999999991</v>
      </c>
      <c r="W9">
        <v>-0.28999999999999998</v>
      </c>
      <c r="X9">
        <v>9.39</v>
      </c>
      <c r="Y9">
        <v>-0.19</v>
      </c>
      <c r="Z9">
        <v>8.93</v>
      </c>
      <c r="AA9">
        <v>-0.66</v>
      </c>
      <c r="AB9">
        <v>9.1300000000000008</v>
      </c>
      <c r="AC9">
        <v>-0.45</v>
      </c>
      <c r="AD9">
        <v>9.0299999999999994</v>
      </c>
      <c r="AE9">
        <v>-0.56000000000000005</v>
      </c>
      <c r="AF9">
        <v>8.58</v>
      </c>
      <c r="AG9">
        <v>-1</v>
      </c>
      <c r="AH9">
        <v>8.7899999999999991</v>
      </c>
      <c r="AI9">
        <v>-0.8</v>
      </c>
      <c r="AJ9">
        <v>9.67</v>
      </c>
      <c r="AK9">
        <v>0.09</v>
      </c>
      <c r="AL9">
        <v>9.41</v>
      </c>
      <c r="AM9">
        <v>-0.18</v>
      </c>
      <c r="AN9">
        <v>8.9499999999999993</v>
      </c>
      <c r="AO9">
        <v>-0.64</v>
      </c>
    </row>
    <row r="10" spans="1:41" ht="33" customHeight="1">
      <c r="A10" s="6">
        <v>9</v>
      </c>
      <c r="B10" s="7" t="s">
        <v>48</v>
      </c>
      <c r="C10" s="6">
        <v>2307</v>
      </c>
      <c r="D10" s="8">
        <v>124</v>
      </c>
      <c r="E10" s="8">
        <v>12</v>
      </c>
      <c r="F10" s="9">
        <f t="shared" si="0"/>
        <v>14.393677</v>
      </c>
      <c r="G10" s="9">
        <v>14</v>
      </c>
      <c r="H10" s="10">
        <f t="shared" si="1"/>
        <v>0.83369940842774226</v>
      </c>
      <c r="I10" s="9">
        <f t="shared" si="2"/>
        <v>2.3936770000000003</v>
      </c>
      <c r="J10">
        <v>12.37</v>
      </c>
      <c r="K10">
        <v>-2.0299999999999998</v>
      </c>
      <c r="L10" s="26">
        <v>12.57</v>
      </c>
      <c r="M10" s="26">
        <v>-1.82</v>
      </c>
      <c r="N10">
        <v>11.78</v>
      </c>
      <c r="O10">
        <v>-2.61</v>
      </c>
      <c r="P10">
        <v>11.96</v>
      </c>
      <c r="Q10">
        <v>-2.4300000000000002</v>
      </c>
      <c r="R10">
        <v>12.2</v>
      </c>
      <c r="S10">
        <v>-2.2000000000000002</v>
      </c>
      <c r="T10" s="26">
        <v>11.99</v>
      </c>
      <c r="U10" s="26">
        <v>-2.4</v>
      </c>
      <c r="V10">
        <v>12.05</v>
      </c>
      <c r="W10">
        <v>-2.34</v>
      </c>
      <c r="X10">
        <v>12.21</v>
      </c>
      <c r="Y10">
        <v>-2.19</v>
      </c>
      <c r="Z10">
        <v>12.46</v>
      </c>
      <c r="AA10">
        <v>-1.93</v>
      </c>
      <c r="AB10">
        <v>12.51</v>
      </c>
      <c r="AC10">
        <v>-1.88</v>
      </c>
      <c r="AD10">
        <v>12.41</v>
      </c>
      <c r="AE10">
        <v>-1.98</v>
      </c>
      <c r="AF10">
        <v>12.62</v>
      </c>
      <c r="AG10">
        <v>-1.78</v>
      </c>
      <c r="AH10">
        <v>14.59</v>
      </c>
      <c r="AI10">
        <v>0.19</v>
      </c>
      <c r="AJ10">
        <v>11.38</v>
      </c>
      <c r="AK10">
        <v>-3.02</v>
      </c>
      <c r="AL10">
        <v>11.6</v>
      </c>
      <c r="AM10">
        <v>-2.79</v>
      </c>
      <c r="AN10">
        <v>15.48</v>
      </c>
      <c r="AO10">
        <v>1.0900000000000001</v>
      </c>
    </row>
    <row r="11" spans="1:41" ht="33" customHeight="1">
      <c r="A11" s="6">
        <v>10</v>
      </c>
      <c r="B11" s="7" t="s">
        <v>49</v>
      </c>
      <c r="C11" s="6">
        <v>724</v>
      </c>
      <c r="D11" s="8">
        <v>82</v>
      </c>
      <c r="E11" s="8">
        <v>6</v>
      </c>
      <c r="F11" s="9">
        <f t="shared" si="0"/>
        <v>7.8047380000000004</v>
      </c>
      <c r="G11" s="9">
        <v>8</v>
      </c>
      <c r="H11" s="10">
        <f t="shared" si="1"/>
        <v>0.76876379450533761</v>
      </c>
      <c r="I11" s="9">
        <f t="shared" si="2"/>
        <v>1.8047380000000004</v>
      </c>
      <c r="J11">
        <v>7.4</v>
      </c>
      <c r="K11">
        <v>-0.4</v>
      </c>
      <c r="L11" s="26">
        <v>7.18</v>
      </c>
      <c r="M11" s="26">
        <v>-0.62</v>
      </c>
      <c r="N11">
        <v>7.41</v>
      </c>
      <c r="O11">
        <v>-0.4</v>
      </c>
      <c r="P11">
        <v>6.53</v>
      </c>
      <c r="Q11">
        <v>-1.27</v>
      </c>
      <c r="R11">
        <v>6.7</v>
      </c>
      <c r="S11">
        <v>-1.1100000000000001</v>
      </c>
      <c r="T11" s="26">
        <v>7.57</v>
      </c>
      <c r="U11" s="26">
        <v>-0.24</v>
      </c>
      <c r="V11">
        <v>7.44</v>
      </c>
      <c r="W11">
        <v>-0.36</v>
      </c>
      <c r="X11">
        <v>6.64</v>
      </c>
      <c r="Y11">
        <v>-1.1599999999999999</v>
      </c>
      <c r="Z11">
        <v>7.14</v>
      </c>
      <c r="AA11">
        <v>-0.66</v>
      </c>
      <c r="AB11">
        <v>7.24</v>
      </c>
      <c r="AC11">
        <v>-0.56000000000000005</v>
      </c>
      <c r="AD11">
        <v>7.11</v>
      </c>
      <c r="AE11">
        <v>-0.69</v>
      </c>
      <c r="AF11">
        <v>7.24</v>
      </c>
      <c r="AG11">
        <v>-0.56999999999999995</v>
      </c>
      <c r="AH11">
        <v>7.21</v>
      </c>
      <c r="AI11">
        <v>-0.59</v>
      </c>
      <c r="AJ11">
        <v>8.7200000000000006</v>
      </c>
      <c r="AK11">
        <v>0.91</v>
      </c>
      <c r="AL11">
        <v>6.79</v>
      </c>
      <c r="AM11">
        <v>-1.02</v>
      </c>
      <c r="AN11">
        <v>7.14</v>
      </c>
      <c r="AO11">
        <v>-0.67</v>
      </c>
    </row>
    <row r="12" spans="1:41" ht="33" customHeight="1">
      <c r="A12" s="6">
        <v>11</v>
      </c>
      <c r="B12" s="7" t="s">
        <v>50</v>
      </c>
      <c r="C12" s="6">
        <v>1033</v>
      </c>
      <c r="D12" s="8">
        <v>110</v>
      </c>
      <c r="E12" s="8">
        <v>6</v>
      </c>
      <c r="F12" s="9">
        <f t="shared" si="0"/>
        <v>10.175547</v>
      </c>
      <c r="G12" s="9">
        <v>11</v>
      </c>
      <c r="H12" s="10">
        <f t="shared" si="1"/>
        <v>0.58964889061983594</v>
      </c>
      <c r="I12" s="9">
        <f t="shared" si="2"/>
        <v>4.1755469999999999</v>
      </c>
      <c r="J12">
        <v>9.91</v>
      </c>
      <c r="K12">
        <v>-0.27</v>
      </c>
      <c r="L12" s="26">
        <v>9.99</v>
      </c>
      <c r="M12" s="26">
        <v>-0.19</v>
      </c>
      <c r="N12">
        <v>9.4499999999999993</v>
      </c>
      <c r="O12">
        <v>-0.73</v>
      </c>
      <c r="P12">
        <v>9.49</v>
      </c>
      <c r="Q12">
        <v>-0.69</v>
      </c>
      <c r="R12">
        <v>9.25</v>
      </c>
      <c r="S12">
        <v>-0.93</v>
      </c>
      <c r="T12" s="26">
        <v>9.14</v>
      </c>
      <c r="U12" s="26">
        <v>-1.04</v>
      </c>
      <c r="V12">
        <v>9.24</v>
      </c>
      <c r="W12">
        <v>-0.94</v>
      </c>
      <c r="X12">
        <v>9.25</v>
      </c>
      <c r="Y12">
        <v>-0.92</v>
      </c>
      <c r="Z12">
        <v>9.33</v>
      </c>
      <c r="AA12">
        <v>-0.84</v>
      </c>
      <c r="AB12">
        <v>9.4700000000000006</v>
      </c>
      <c r="AC12">
        <v>-0.7</v>
      </c>
      <c r="AD12">
        <v>9.31</v>
      </c>
      <c r="AE12">
        <v>-0.86</v>
      </c>
      <c r="AF12">
        <v>9.2100000000000009</v>
      </c>
      <c r="AG12">
        <v>-0.96</v>
      </c>
      <c r="AH12">
        <v>8.11</v>
      </c>
      <c r="AI12">
        <v>-2.0699999999999998</v>
      </c>
      <c r="AJ12">
        <v>7.33</v>
      </c>
      <c r="AK12">
        <v>-2.85</v>
      </c>
      <c r="AL12">
        <v>8.4</v>
      </c>
      <c r="AM12">
        <v>-1.77</v>
      </c>
      <c r="AN12">
        <v>8.16</v>
      </c>
      <c r="AO12">
        <v>-2.0099999999999998</v>
      </c>
    </row>
    <row r="13" spans="1:41" ht="33" customHeight="1">
      <c r="A13" s="6">
        <v>12</v>
      </c>
      <c r="B13" s="7" t="s">
        <v>51</v>
      </c>
      <c r="C13" s="6">
        <v>655</v>
      </c>
      <c r="D13" s="8">
        <v>65</v>
      </c>
      <c r="E13" s="8">
        <v>7</v>
      </c>
      <c r="F13" s="9">
        <f t="shared" si="0"/>
        <v>6.6866249999999994</v>
      </c>
      <c r="G13" s="9">
        <v>7</v>
      </c>
      <c r="H13" s="10">
        <f t="shared" si="1"/>
        <v>0.95523214285714275</v>
      </c>
      <c r="I13" s="9">
        <f t="shared" si="2"/>
        <v>-0.31337500000000063</v>
      </c>
      <c r="J13">
        <v>6.69</v>
      </c>
      <c r="K13">
        <v>0</v>
      </c>
      <c r="L13" s="26">
        <v>6.5</v>
      </c>
      <c r="M13" s="26">
        <v>-0.19</v>
      </c>
      <c r="N13">
        <v>6.57</v>
      </c>
      <c r="O13">
        <v>-0.12</v>
      </c>
      <c r="P13">
        <v>6.62</v>
      </c>
      <c r="Q13">
        <v>-7.0000000000000007E-2</v>
      </c>
      <c r="R13">
        <v>6.61</v>
      </c>
      <c r="S13">
        <v>-0.08</v>
      </c>
      <c r="T13" s="26">
        <v>6.54</v>
      </c>
      <c r="U13" s="26">
        <v>-0.15</v>
      </c>
      <c r="V13">
        <v>6.6</v>
      </c>
      <c r="W13">
        <v>-0.08</v>
      </c>
      <c r="X13">
        <v>6.61</v>
      </c>
      <c r="Y13">
        <v>-0.08</v>
      </c>
      <c r="Z13">
        <v>6.5</v>
      </c>
      <c r="AA13">
        <v>-0.19</v>
      </c>
      <c r="AB13">
        <v>6.64</v>
      </c>
      <c r="AC13">
        <v>-0.05</v>
      </c>
      <c r="AD13">
        <v>6.56</v>
      </c>
      <c r="AE13">
        <v>-0.13</v>
      </c>
      <c r="AF13">
        <v>6.43</v>
      </c>
      <c r="AG13">
        <v>-0.25</v>
      </c>
      <c r="AH13">
        <v>7.21</v>
      </c>
      <c r="AI13">
        <v>0.53</v>
      </c>
      <c r="AJ13">
        <v>6.51</v>
      </c>
      <c r="AK13">
        <v>-0.17</v>
      </c>
      <c r="AL13">
        <v>7.44</v>
      </c>
      <c r="AM13">
        <v>0.75</v>
      </c>
      <c r="AN13">
        <v>7.14</v>
      </c>
      <c r="AO13">
        <v>0.45</v>
      </c>
    </row>
    <row r="14" spans="1:41" ht="33" customHeight="1">
      <c r="A14" s="6">
        <v>13</v>
      </c>
      <c r="B14" s="7" t="s">
        <v>52</v>
      </c>
      <c r="C14" s="6">
        <v>569</v>
      </c>
      <c r="D14" s="8">
        <v>92</v>
      </c>
      <c r="E14" s="8">
        <v>8</v>
      </c>
      <c r="F14" s="9">
        <f t="shared" si="0"/>
        <v>7.9326029999999994</v>
      </c>
      <c r="G14" s="9">
        <v>9</v>
      </c>
      <c r="H14" s="10">
        <f t="shared" si="1"/>
        <v>0.99157537499999993</v>
      </c>
      <c r="I14" s="9">
        <f t="shared" si="2"/>
        <v>-6.7397000000000595E-2</v>
      </c>
      <c r="J14">
        <v>7.98</v>
      </c>
      <c r="K14">
        <v>0.05</v>
      </c>
      <c r="L14" s="26">
        <v>8.2799999999999994</v>
      </c>
      <c r="M14" s="26">
        <v>0.34</v>
      </c>
      <c r="N14">
        <v>8.1999999999999993</v>
      </c>
      <c r="O14">
        <v>0.26</v>
      </c>
      <c r="P14">
        <v>8.32</v>
      </c>
      <c r="Q14">
        <v>0.39</v>
      </c>
      <c r="R14">
        <v>8.01</v>
      </c>
      <c r="S14">
        <v>7.0000000000000007E-2</v>
      </c>
      <c r="T14" s="26">
        <v>7.88</v>
      </c>
      <c r="U14" s="26">
        <v>-0.06</v>
      </c>
      <c r="V14">
        <v>7.94</v>
      </c>
      <c r="W14">
        <v>0.01</v>
      </c>
      <c r="X14">
        <v>8.08</v>
      </c>
      <c r="Y14">
        <v>0.15</v>
      </c>
      <c r="Z14">
        <v>8.16</v>
      </c>
      <c r="AA14">
        <v>0.23</v>
      </c>
      <c r="AB14">
        <v>7.96</v>
      </c>
      <c r="AC14">
        <v>0.03</v>
      </c>
      <c r="AD14">
        <v>8.2100000000000009</v>
      </c>
      <c r="AE14">
        <v>0.27</v>
      </c>
      <c r="AF14">
        <v>7.85</v>
      </c>
      <c r="AG14">
        <v>-0.08</v>
      </c>
      <c r="AH14">
        <v>7.13</v>
      </c>
      <c r="AI14">
        <v>-0.8</v>
      </c>
      <c r="AJ14">
        <v>6.92</v>
      </c>
      <c r="AK14">
        <v>-1.01</v>
      </c>
      <c r="AL14">
        <v>6.86</v>
      </c>
      <c r="AM14">
        <v>-1.07</v>
      </c>
      <c r="AN14">
        <v>7.01</v>
      </c>
      <c r="AO14">
        <v>-0.92</v>
      </c>
    </row>
    <row r="15" spans="1:41" ht="33" customHeight="1">
      <c r="A15" s="6">
        <v>14</v>
      </c>
      <c r="B15" s="7" t="s">
        <v>53</v>
      </c>
      <c r="C15" s="6">
        <v>808</v>
      </c>
      <c r="D15" s="8">
        <v>80</v>
      </c>
      <c r="E15" s="8">
        <v>7</v>
      </c>
      <c r="F15" s="9">
        <f t="shared" si="0"/>
        <v>7.9227420000000004</v>
      </c>
      <c r="G15" s="9">
        <v>9</v>
      </c>
      <c r="H15" s="10">
        <f t="shared" si="1"/>
        <v>0.88353249417941415</v>
      </c>
      <c r="I15" s="9">
        <f t="shared" si="2"/>
        <v>0.9227420000000004</v>
      </c>
      <c r="J15">
        <v>7.6</v>
      </c>
      <c r="K15">
        <v>-0.33</v>
      </c>
      <c r="L15" s="26">
        <v>7.47</v>
      </c>
      <c r="M15" s="26">
        <v>-0.45</v>
      </c>
      <c r="N15">
        <v>7.65</v>
      </c>
      <c r="O15">
        <v>-0.27</v>
      </c>
      <c r="P15">
        <v>7.76</v>
      </c>
      <c r="Q15">
        <v>-0.17</v>
      </c>
      <c r="R15">
        <v>7.57</v>
      </c>
      <c r="S15">
        <v>-0.36</v>
      </c>
      <c r="T15" s="26">
        <v>7.39</v>
      </c>
      <c r="U15" s="26">
        <v>-0.53</v>
      </c>
      <c r="V15">
        <v>7.45</v>
      </c>
      <c r="W15">
        <v>-0.47</v>
      </c>
      <c r="X15">
        <v>7.56</v>
      </c>
      <c r="Y15">
        <v>-0.36</v>
      </c>
      <c r="Z15">
        <v>7.32</v>
      </c>
      <c r="AA15">
        <v>-0.6</v>
      </c>
      <c r="AB15">
        <v>7.46</v>
      </c>
      <c r="AC15">
        <v>-0.46</v>
      </c>
      <c r="AD15">
        <v>7.35</v>
      </c>
      <c r="AE15">
        <v>-0.57999999999999996</v>
      </c>
      <c r="AF15">
        <v>7.26</v>
      </c>
      <c r="AG15">
        <v>-0.67</v>
      </c>
      <c r="AH15">
        <v>7.44</v>
      </c>
      <c r="AI15">
        <v>-0.49</v>
      </c>
      <c r="AJ15">
        <v>6.89</v>
      </c>
      <c r="AK15">
        <v>-1.03</v>
      </c>
      <c r="AL15">
        <v>6.87</v>
      </c>
      <c r="AM15">
        <v>-1.05</v>
      </c>
      <c r="AN15">
        <v>7.39</v>
      </c>
      <c r="AO15">
        <v>-0.53</v>
      </c>
    </row>
    <row r="16" spans="1:41" ht="33" customHeight="1">
      <c r="A16" s="6">
        <v>15</v>
      </c>
      <c r="B16" s="11" t="s">
        <v>54</v>
      </c>
      <c r="C16" s="6">
        <v>2465</v>
      </c>
      <c r="D16" s="8">
        <v>192</v>
      </c>
      <c r="E16" s="8">
        <v>20</v>
      </c>
      <c r="F16" s="9">
        <f t="shared" si="0"/>
        <v>18.546467</v>
      </c>
      <c r="G16" s="9">
        <v>18</v>
      </c>
      <c r="H16" s="10">
        <f t="shared" si="1"/>
        <v>0.92732334999999999</v>
      </c>
      <c r="I16" s="9">
        <f t="shared" si="2"/>
        <v>-1.4535330000000002</v>
      </c>
      <c r="J16">
        <v>19.53</v>
      </c>
      <c r="K16">
        <v>0.98</v>
      </c>
      <c r="L16" s="26">
        <v>18.989999999999998</v>
      </c>
      <c r="M16" s="26">
        <v>0.44</v>
      </c>
      <c r="N16">
        <v>19.399999999999999</v>
      </c>
      <c r="O16">
        <v>0.85</v>
      </c>
      <c r="P16">
        <v>19.329999999999998</v>
      </c>
      <c r="Q16">
        <v>0.78</v>
      </c>
      <c r="R16">
        <v>18.309999999999999</v>
      </c>
      <c r="S16">
        <v>-0.23</v>
      </c>
      <c r="T16" s="26">
        <v>18.32</v>
      </c>
      <c r="U16" s="26">
        <v>-0.23</v>
      </c>
      <c r="V16">
        <v>17.600000000000001</v>
      </c>
      <c r="W16">
        <v>-0.95</v>
      </c>
      <c r="X16">
        <v>17.62</v>
      </c>
      <c r="Y16">
        <v>-0.93</v>
      </c>
      <c r="Z16">
        <v>18.23</v>
      </c>
      <c r="AA16">
        <v>-0.31</v>
      </c>
      <c r="AB16">
        <v>17.46</v>
      </c>
      <c r="AC16">
        <v>-1.0900000000000001</v>
      </c>
      <c r="AD16">
        <v>17.72</v>
      </c>
      <c r="AE16">
        <v>-0.83</v>
      </c>
      <c r="AF16">
        <v>18.62</v>
      </c>
      <c r="AG16">
        <v>7.0000000000000007E-2</v>
      </c>
      <c r="AH16">
        <v>18.59</v>
      </c>
      <c r="AI16">
        <v>0.04</v>
      </c>
      <c r="AJ16">
        <v>19.239999999999998</v>
      </c>
      <c r="AK16">
        <v>0.69</v>
      </c>
      <c r="AL16">
        <v>19.579999999999998</v>
      </c>
      <c r="AM16">
        <v>1.03</v>
      </c>
      <c r="AN16">
        <v>18.41</v>
      </c>
      <c r="AO16">
        <v>-0.14000000000000001</v>
      </c>
    </row>
    <row r="17" spans="1:42" ht="33" customHeight="1">
      <c r="A17" s="6">
        <v>16</v>
      </c>
      <c r="B17" s="7" t="s">
        <v>55</v>
      </c>
      <c r="C17" s="6">
        <v>2153</v>
      </c>
      <c r="D17" s="8">
        <v>118</v>
      </c>
      <c r="E17" s="8">
        <v>11</v>
      </c>
      <c r="F17" s="9">
        <f t="shared" si="0"/>
        <v>13.647835000000001</v>
      </c>
      <c r="G17" s="9">
        <v>13</v>
      </c>
      <c r="H17" s="10">
        <f t="shared" si="1"/>
        <v>0.80598864215459809</v>
      </c>
      <c r="I17" s="9">
        <f t="shared" si="2"/>
        <v>2.6478350000000006</v>
      </c>
      <c r="J17">
        <v>13.62</v>
      </c>
      <c r="K17">
        <v>-0.03</v>
      </c>
      <c r="L17" s="26">
        <v>13.35</v>
      </c>
      <c r="M17" s="26">
        <v>-0.3</v>
      </c>
      <c r="N17">
        <v>13.93</v>
      </c>
      <c r="O17">
        <v>0.28999999999999998</v>
      </c>
      <c r="P17">
        <v>13.85</v>
      </c>
      <c r="Q17">
        <v>0.2</v>
      </c>
      <c r="R17">
        <v>12.81</v>
      </c>
      <c r="S17">
        <v>-0.84</v>
      </c>
      <c r="T17" s="26">
        <v>12.87</v>
      </c>
      <c r="U17" s="26">
        <v>-0.77</v>
      </c>
      <c r="V17">
        <v>12.79</v>
      </c>
      <c r="W17">
        <v>-0.85</v>
      </c>
      <c r="X17">
        <v>12.77</v>
      </c>
      <c r="Y17">
        <v>-0.88</v>
      </c>
      <c r="Z17">
        <v>12.72</v>
      </c>
      <c r="AA17">
        <v>-0.93</v>
      </c>
      <c r="AB17">
        <v>12.41</v>
      </c>
      <c r="AC17">
        <v>-1.24</v>
      </c>
      <c r="AD17">
        <v>12.81</v>
      </c>
      <c r="AE17">
        <v>-0.84</v>
      </c>
      <c r="AF17">
        <v>12.16</v>
      </c>
      <c r="AG17">
        <v>-1.49</v>
      </c>
      <c r="AH17">
        <v>16.059999999999999</v>
      </c>
      <c r="AI17">
        <v>2.41</v>
      </c>
      <c r="AJ17">
        <v>16.47</v>
      </c>
      <c r="AK17">
        <v>2.82</v>
      </c>
      <c r="AL17">
        <v>16.559999999999999</v>
      </c>
      <c r="AM17">
        <v>2.91</v>
      </c>
      <c r="AN17">
        <v>15.3</v>
      </c>
      <c r="AO17">
        <v>1.66</v>
      </c>
    </row>
    <row r="18" spans="1:42" ht="33" customHeight="1">
      <c r="A18" s="6">
        <v>17</v>
      </c>
      <c r="B18" s="7" t="s">
        <v>56</v>
      </c>
      <c r="C18" s="6">
        <v>4130</v>
      </c>
      <c r="D18" s="8">
        <v>139</v>
      </c>
      <c r="E18" s="8">
        <v>22</v>
      </c>
      <c r="F18" s="9">
        <f t="shared" si="0"/>
        <v>20.153824</v>
      </c>
      <c r="G18" s="9">
        <v>18</v>
      </c>
      <c r="H18" s="10">
        <f t="shared" si="1"/>
        <v>0.91608290909090906</v>
      </c>
      <c r="I18" s="9">
        <f t="shared" si="2"/>
        <v>-1.8461759999999998</v>
      </c>
      <c r="J18">
        <v>21.79</v>
      </c>
      <c r="K18">
        <v>1.64</v>
      </c>
      <c r="L18" s="26">
        <v>21.42</v>
      </c>
      <c r="M18" s="26">
        <v>1.26</v>
      </c>
      <c r="N18">
        <v>21.72</v>
      </c>
      <c r="O18">
        <v>1.57</v>
      </c>
      <c r="P18">
        <v>21.63</v>
      </c>
      <c r="Q18">
        <v>1.48</v>
      </c>
      <c r="R18">
        <v>21.67</v>
      </c>
      <c r="S18">
        <v>1.52</v>
      </c>
      <c r="T18" s="26">
        <v>21.77</v>
      </c>
      <c r="U18" s="26">
        <v>1.61</v>
      </c>
      <c r="V18">
        <v>21.72</v>
      </c>
      <c r="W18">
        <v>1.56</v>
      </c>
      <c r="X18">
        <v>21.59</v>
      </c>
      <c r="Y18">
        <v>1.44</v>
      </c>
      <c r="Z18">
        <v>21.51</v>
      </c>
      <c r="AA18">
        <v>1.36</v>
      </c>
      <c r="AB18">
        <v>21.83</v>
      </c>
      <c r="AC18">
        <v>1.68</v>
      </c>
      <c r="AD18">
        <v>21.54</v>
      </c>
      <c r="AE18">
        <v>1.39</v>
      </c>
      <c r="AF18">
        <v>21.94</v>
      </c>
      <c r="AG18">
        <v>1.79</v>
      </c>
      <c r="AH18">
        <v>22.45</v>
      </c>
      <c r="AI18">
        <v>2.2999999999999998</v>
      </c>
      <c r="AJ18">
        <v>23.63</v>
      </c>
      <c r="AK18">
        <v>3.47</v>
      </c>
      <c r="AL18">
        <v>23.43</v>
      </c>
      <c r="AM18">
        <v>3.27</v>
      </c>
      <c r="AN18">
        <v>23.49</v>
      </c>
      <c r="AO18">
        <v>3.34</v>
      </c>
    </row>
    <row r="19" spans="1:42" ht="33" customHeight="1">
      <c r="A19" s="6">
        <v>18</v>
      </c>
      <c r="B19" s="7" t="s">
        <v>57</v>
      </c>
      <c r="C19" s="6">
        <v>981</v>
      </c>
      <c r="D19" s="8">
        <v>109</v>
      </c>
      <c r="E19" s="8">
        <v>8</v>
      </c>
      <c r="F19" s="9">
        <f t="shared" si="0"/>
        <v>9.9799030000000002</v>
      </c>
      <c r="G19" s="9">
        <v>11</v>
      </c>
      <c r="H19" s="10">
        <f t="shared" si="1"/>
        <v>0.80161099762192078</v>
      </c>
      <c r="I19" s="9">
        <f t="shared" si="2"/>
        <v>1.9799030000000002</v>
      </c>
      <c r="J19">
        <v>10.029999999999999</v>
      </c>
      <c r="K19">
        <v>0.05</v>
      </c>
      <c r="L19" s="26">
        <v>10.25</v>
      </c>
      <c r="M19" s="26">
        <v>0.27</v>
      </c>
      <c r="N19">
        <v>10.32</v>
      </c>
      <c r="O19">
        <v>0.34</v>
      </c>
      <c r="P19">
        <v>10.43</v>
      </c>
      <c r="Q19">
        <v>0.45</v>
      </c>
      <c r="R19">
        <v>9.81</v>
      </c>
      <c r="S19">
        <v>-0.17</v>
      </c>
      <c r="T19" s="26">
        <v>9.69</v>
      </c>
      <c r="U19" s="26">
        <v>-0.28999999999999998</v>
      </c>
      <c r="V19">
        <v>9.76</v>
      </c>
      <c r="W19">
        <v>-0.22</v>
      </c>
      <c r="X19">
        <v>9.89</v>
      </c>
      <c r="Y19">
        <v>-0.09</v>
      </c>
      <c r="Z19">
        <v>9.91</v>
      </c>
      <c r="AA19">
        <v>-7.0000000000000007E-2</v>
      </c>
      <c r="AB19">
        <v>9.67</v>
      </c>
      <c r="AC19">
        <v>-0.31</v>
      </c>
      <c r="AD19">
        <v>9.98</v>
      </c>
      <c r="AE19">
        <v>0</v>
      </c>
      <c r="AF19">
        <v>9.2799999999999994</v>
      </c>
      <c r="AG19">
        <v>-0.7</v>
      </c>
      <c r="AH19">
        <v>9.01</v>
      </c>
      <c r="AI19">
        <v>-0.97</v>
      </c>
      <c r="AJ19">
        <v>8.89</v>
      </c>
      <c r="AK19">
        <v>-1.0900000000000001</v>
      </c>
      <c r="AL19">
        <v>8.6199999999999992</v>
      </c>
      <c r="AM19">
        <v>-1.36</v>
      </c>
      <c r="AN19">
        <v>8.18</v>
      </c>
      <c r="AO19">
        <v>-1.8</v>
      </c>
    </row>
    <row r="20" spans="1:42" ht="33" customHeight="1">
      <c r="A20" s="6">
        <v>19</v>
      </c>
      <c r="B20" s="7" t="s">
        <v>58</v>
      </c>
      <c r="C20" s="6">
        <v>619</v>
      </c>
      <c r="D20" s="8">
        <v>148</v>
      </c>
      <c r="E20" s="8">
        <v>12</v>
      </c>
      <c r="F20" s="9">
        <f t="shared" si="0"/>
        <v>11.135508999999999</v>
      </c>
      <c r="G20" s="9">
        <v>12</v>
      </c>
      <c r="H20" s="10">
        <f t="shared" si="1"/>
        <v>0.92795908333333321</v>
      </c>
      <c r="I20" s="9">
        <f t="shared" si="2"/>
        <v>-0.86449100000000101</v>
      </c>
      <c r="J20">
        <v>11.01</v>
      </c>
      <c r="K20">
        <v>-0.13</v>
      </c>
      <c r="L20" s="26">
        <v>10.91</v>
      </c>
      <c r="M20" s="26">
        <v>-0.22</v>
      </c>
      <c r="N20">
        <v>10.3</v>
      </c>
      <c r="O20">
        <v>-0.83</v>
      </c>
      <c r="P20">
        <v>10.17</v>
      </c>
      <c r="Q20">
        <v>-0.96</v>
      </c>
      <c r="R20">
        <v>10.02</v>
      </c>
      <c r="S20">
        <v>-1.1200000000000001</v>
      </c>
      <c r="T20" s="26">
        <v>10.220000000000001</v>
      </c>
      <c r="U20" s="26">
        <v>-0.92</v>
      </c>
      <c r="V20">
        <v>10.199999999999999</v>
      </c>
      <c r="W20">
        <v>-0.93</v>
      </c>
      <c r="X20">
        <v>9.9600000000000009</v>
      </c>
      <c r="Y20">
        <v>-1.17</v>
      </c>
      <c r="Z20">
        <v>10.29</v>
      </c>
      <c r="AA20">
        <v>-0.84</v>
      </c>
      <c r="AB20">
        <v>10.47</v>
      </c>
      <c r="AC20">
        <v>-0.67</v>
      </c>
      <c r="AD20">
        <v>10.210000000000001</v>
      </c>
      <c r="AE20">
        <v>-0.92</v>
      </c>
      <c r="AF20">
        <v>10.73</v>
      </c>
      <c r="AG20">
        <v>-0.4</v>
      </c>
      <c r="AH20">
        <v>7.09</v>
      </c>
      <c r="AI20">
        <v>-4.05</v>
      </c>
      <c r="AJ20">
        <v>9.77</v>
      </c>
      <c r="AK20">
        <v>-1.37</v>
      </c>
      <c r="AL20">
        <v>9.9499999999999993</v>
      </c>
      <c r="AM20">
        <v>-1.19</v>
      </c>
      <c r="AN20">
        <v>6.99</v>
      </c>
      <c r="AO20">
        <v>-4.1399999999999997</v>
      </c>
    </row>
    <row r="21" spans="1:42" ht="33" customHeight="1">
      <c r="A21" s="6">
        <v>20</v>
      </c>
      <c r="B21" s="7" t="s">
        <v>59</v>
      </c>
      <c r="C21" s="6">
        <v>122</v>
      </c>
      <c r="D21" s="8">
        <v>24</v>
      </c>
      <c r="E21" s="8">
        <v>4</v>
      </c>
      <c r="F21" s="9">
        <f t="shared" si="0"/>
        <v>2.996912</v>
      </c>
      <c r="G21" s="9">
        <v>4</v>
      </c>
      <c r="H21" s="10">
        <f t="shared" si="1"/>
        <v>0.74922800000000001</v>
      </c>
      <c r="I21" s="9">
        <f t="shared" si="2"/>
        <v>-1.003088</v>
      </c>
      <c r="J21">
        <v>4.2699999999999996</v>
      </c>
      <c r="K21">
        <v>1.28</v>
      </c>
      <c r="L21" s="26">
        <v>4.45</v>
      </c>
      <c r="M21" s="26">
        <v>1.45</v>
      </c>
      <c r="N21">
        <v>4</v>
      </c>
      <c r="O21">
        <v>1</v>
      </c>
      <c r="P21">
        <v>3.97</v>
      </c>
      <c r="Q21">
        <v>0.97</v>
      </c>
      <c r="R21">
        <v>5.2</v>
      </c>
      <c r="S21">
        <v>2.2000000000000002</v>
      </c>
      <c r="T21" s="26">
        <v>5.21</v>
      </c>
      <c r="U21" s="26">
        <v>2.21</v>
      </c>
      <c r="V21">
        <v>5.46</v>
      </c>
      <c r="W21">
        <v>2.46</v>
      </c>
      <c r="X21">
        <v>5.47</v>
      </c>
      <c r="Y21">
        <v>2.4700000000000002</v>
      </c>
      <c r="Z21">
        <v>5.01</v>
      </c>
      <c r="AA21">
        <v>2.02</v>
      </c>
      <c r="AB21">
        <v>5.21</v>
      </c>
      <c r="AC21">
        <v>2.21</v>
      </c>
      <c r="AD21">
        <v>5.21</v>
      </c>
      <c r="AE21">
        <v>2.21</v>
      </c>
      <c r="AF21">
        <v>4.7699999999999996</v>
      </c>
      <c r="AG21">
        <v>1.78</v>
      </c>
      <c r="AH21">
        <v>6.35</v>
      </c>
      <c r="AI21">
        <v>3.35</v>
      </c>
      <c r="AJ21">
        <v>6.11</v>
      </c>
      <c r="AK21">
        <v>3.11</v>
      </c>
      <c r="AL21">
        <v>6.27</v>
      </c>
      <c r="AM21">
        <v>3.27</v>
      </c>
      <c r="AN21">
        <v>6.79</v>
      </c>
      <c r="AO21">
        <v>3.8</v>
      </c>
    </row>
    <row r="22" spans="1:42" ht="33" customHeight="1">
      <c r="A22" s="6">
        <v>21</v>
      </c>
      <c r="B22" s="7" t="s">
        <v>60</v>
      </c>
      <c r="C22" s="6">
        <v>792</v>
      </c>
      <c r="D22" s="8">
        <v>55</v>
      </c>
      <c r="E22" s="8">
        <v>9</v>
      </c>
      <c r="F22" s="9">
        <f t="shared" si="0"/>
        <v>6.5099979999999995</v>
      </c>
      <c r="G22" s="9">
        <v>7</v>
      </c>
      <c r="H22" s="10">
        <f t="shared" si="1"/>
        <v>0.72333311111111109</v>
      </c>
      <c r="I22" s="9">
        <f t="shared" si="2"/>
        <v>-2.4900020000000005</v>
      </c>
      <c r="J22">
        <v>6.28</v>
      </c>
      <c r="K22">
        <v>-0.23</v>
      </c>
      <c r="L22" s="26">
        <v>6.43</v>
      </c>
      <c r="M22" s="26">
        <v>-0.08</v>
      </c>
      <c r="N22">
        <v>6.58</v>
      </c>
      <c r="O22">
        <v>7.0000000000000007E-2</v>
      </c>
      <c r="P22">
        <v>6.61</v>
      </c>
      <c r="Q22">
        <v>0.1</v>
      </c>
      <c r="R22">
        <v>7.16</v>
      </c>
      <c r="S22">
        <v>0.65</v>
      </c>
      <c r="T22" s="26">
        <v>7.18</v>
      </c>
      <c r="U22" s="26">
        <v>0.67</v>
      </c>
      <c r="V22">
        <v>7.07</v>
      </c>
      <c r="W22">
        <v>0.56000000000000005</v>
      </c>
      <c r="X22">
        <v>7.08</v>
      </c>
      <c r="Y22">
        <v>0.56999999999999995</v>
      </c>
      <c r="Z22">
        <v>7.09</v>
      </c>
      <c r="AA22">
        <v>0.57999999999999996</v>
      </c>
      <c r="AB22">
        <v>6.96</v>
      </c>
      <c r="AC22">
        <v>0.45</v>
      </c>
      <c r="AD22">
        <v>7.06</v>
      </c>
      <c r="AE22">
        <v>0.55000000000000004</v>
      </c>
      <c r="AF22">
        <v>7.18</v>
      </c>
      <c r="AG22">
        <v>0.67</v>
      </c>
      <c r="AH22">
        <v>7.89</v>
      </c>
      <c r="AI22">
        <v>1.38</v>
      </c>
      <c r="AJ22">
        <v>7.71</v>
      </c>
      <c r="AK22">
        <v>1.2</v>
      </c>
      <c r="AL22">
        <v>7.54</v>
      </c>
      <c r="AM22">
        <v>1.03</v>
      </c>
      <c r="AN22">
        <v>7.41</v>
      </c>
      <c r="AO22">
        <v>0.9</v>
      </c>
    </row>
    <row r="23" spans="1:42" ht="33" customHeight="1">
      <c r="A23" s="6">
        <v>22</v>
      </c>
      <c r="B23" s="7" t="s">
        <v>61</v>
      </c>
      <c r="C23" s="6">
        <v>876</v>
      </c>
      <c r="D23" s="8">
        <v>75</v>
      </c>
      <c r="E23" s="8">
        <v>7</v>
      </c>
      <c r="F23" s="9">
        <f t="shared" si="0"/>
        <v>7.8330739999999999</v>
      </c>
      <c r="G23" s="9">
        <v>8</v>
      </c>
      <c r="H23" s="10">
        <f t="shared" si="1"/>
        <v>0.89364660668340423</v>
      </c>
      <c r="I23" s="9">
        <f t="shared" si="2"/>
        <v>0.83307399999999987</v>
      </c>
      <c r="J23">
        <v>7.25</v>
      </c>
      <c r="K23">
        <v>-0.57999999999999996</v>
      </c>
      <c r="L23" s="26">
        <v>7.03</v>
      </c>
      <c r="M23" s="26">
        <v>-0.8</v>
      </c>
      <c r="N23">
        <v>7.5</v>
      </c>
      <c r="O23">
        <v>-0.33</v>
      </c>
      <c r="P23">
        <v>7.59</v>
      </c>
      <c r="Q23">
        <v>-0.24</v>
      </c>
      <c r="R23">
        <v>7.75</v>
      </c>
      <c r="S23">
        <v>-0.08</v>
      </c>
      <c r="T23" s="26">
        <v>7.66</v>
      </c>
      <c r="U23" s="26">
        <v>-0.17</v>
      </c>
      <c r="V23">
        <v>7.61</v>
      </c>
      <c r="W23">
        <v>-0.22</v>
      </c>
      <c r="X23">
        <v>7.69</v>
      </c>
      <c r="Y23">
        <v>-0.14000000000000001</v>
      </c>
      <c r="Z23">
        <v>7.49</v>
      </c>
      <c r="AA23">
        <v>-0.35</v>
      </c>
      <c r="AB23">
        <v>7.5</v>
      </c>
      <c r="AC23">
        <v>-0.33</v>
      </c>
      <c r="AD23">
        <v>7.48</v>
      </c>
      <c r="AE23">
        <v>-0.36</v>
      </c>
      <c r="AF23">
        <v>7.6</v>
      </c>
      <c r="AG23">
        <v>-0.23</v>
      </c>
      <c r="AH23">
        <v>7.5</v>
      </c>
      <c r="AI23">
        <v>-0.33</v>
      </c>
      <c r="AJ23">
        <v>7.43</v>
      </c>
      <c r="AK23">
        <v>-0.4</v>
      </c>
      <c r="AL23">
        <v>7.21</v>
      </c>
      <c r="AM23">
        <v>-0.62</v>
      </c>
      <c r="AN23">
        <v>7.46</v>
      </c>
      <c r="AO23">
        <v>-0.37</v>
      </c>
    </row>
    <row r="24" spans="1:42" ht="33" customHeight="1">
      <c r="A24" s="6">
        <v>23</v>
      </c>
      <c r="B24" s="7" t="s">
        <v>62</v>
      </c>
      <c r="C24" s="6">
        <v>617</v>
      </c>
      <c r="D24" s="8">
        <v>92</v>
      </c>
      <c r="E24" s="8">
        <v>7</v>
      </c>
      <c r="F24" s="9">
        <f t="shared" si="0"/>
        <v>8.0626350000000002</v>
      </c>
      <c r="G24" s="9">
        <v>9</v>
      </c>
      <c r="H24" s="10">
        <f t="shared" si="1"/>
        <v>0.86820251691909656</v>
      </c>
      <c r="I24" s="9">
        <f t="shared" si="2"/>
        <v>1.0626350000000002</v>
      </c>
      <c r="J24">
        <v>7.9</v>
      </c>
      <c r="K24">
        <v>-0.17</v>
      </c>
      <c r="L24" s="26">
        <v>7.71</v>
      </c>
      <c r="M24" s="26">
        <v>-0.35</v>
      </c>
      <c r="N24">
        <v>8.1</v>
      </c>
      <c r="O24">
        <v>0.04</v>
      </c>
      <c r="P24">
        <v>8.26</v>
      </c>
      <c r="Q24">
        <v>0.19</v>
      </c>
      <c r="R24">
        <v>7.95</v>
      </c>
      <c r="S24">
        <v>-0.11</v>
      </c>
      <c r="T24" s="26">
        <v>7.79</v>
      </c>
      <c r="U24" s="26">
        <v>-0.27</v>
      </c>
      <c r="V24">
        <v>7.82</v>
      </c>
      <c r="W24">
        <v>-0.24</v>
      </c>
      <c r="X24">
        <v>7.98</v>
      </c>
      <c r="Y24">
        <v>-0.09</v>
      </c>
      <c r="Z24">
        <v>7.65</v>
      </c>
      <c r="AA24">
        <v>-0.41</v>
      </c>
      <c r="AB24">
        <v>7.81</v>
      </c>
      <c r="AC24">
        <v>-0.25</v>
      </c>
      <c r="AD24">
        <v>7.68</v>
      </c>
      <c r="AE24">
        <v>-0.39</v>
      </c>
      <c r="AF24">
        <v>7.75</v>
      </c>
      <c r="AG24">
        <v>-0.31</v>
      </c>
      <c r="AH24">
        <v>7.12</v>
      </c>
      <c r="AI24">
        <v>-0.94</v>
      </c>
      <c r="AJ24">
        <v>6.78</v>
      </c>
      <c r="AK24">
        <v>-1.28</v>
      </c>
      <c r="AL24">
        <v>6.76</v>
      </c>
      <c r="AM24">
        <v>-1.3</v>
      </c>
      <c r="AN24">
        <v>7.03</v>
      </c>
      <c r="AO24">
        <v>-1.04</v>
      </c>
    </row>
    <row r="25" spans="1:42" ht="33" customHeight="1">
      <c r="A25" s="6">
        <v>24</v>
      </c>
      <c r="B25" s="7" t="s">
        <v>63</v>
      </c>
      <c r="C25" s="6">
        <v>415</v>
      </c>
      <c r="D25" s="8">
        <v>46</v>
      </c>
      <c r="E25" s="8">
        <v>3</v>
      </c>
      <c r="F25" s="9">
        <f t="shared" si="0"/>
        <v>4.9957209999999996</v>
      </c>
      <c r="G25" s="9">
        <v>6</v>
      </c>
      <c r="H25" s="10">
        <f t="shared" si="1"/>
        <v>0.60051391981257563</v>
      </c>
      <c r="I25" s="9">
        <f t="shared" si="2"/>
        <v>1.9957209999999996</v>
      </c>
      <c r="J25">
        <v>5.36</v>
      </c>
      <c r="K25">
        <v>0.37</v>
      </c>
      <c r="L25" s="26">
        <v>5.59</v>
      </c>
      <c r="M25" s="26">
        <v>0.6</v>
      </c>
      <c r="N25">
        <v>5.43</v>
      </c>
      <c r="O25">
        <v>0.43</v>
      </c>
      <c r="P25">
        <v>5.46</v>
      </c>
      <c r="Q25">
        <v>0.47</v>
      </c>
      <c r="R25">
        <v>5.55</v>
      </c>
      <c r="S25">
        <v>0.55000000000000004</v>
      </c>
      <c r="T25" s="26">
        <v>5.54</v>
      </c>
      <c r="U25" s="26">
        <v>0.54</v>
      </c>
      <c r="V25">
        <v>5.46</v>
      </c>
      <c r="W25">
        <v>0.47</v>
      </c>
      <c r="X25">
        <v>5.51</v>
      </c>
      <c r="Y25">
        <v>0.51</v>
      </c>
      <c r="Z25">
        <v>5.68</v>
      </c>
      <c r="AA25">
        <v>0.69</v>
      </c>
      <c r="AB25">
        <v>5.47</v>
      </c>
      <c r="AC25">
        <v>0.47</v>
      </c>
      <c r="AD25">
        <v>5.64</v>
      </c>
      <c r="AE25">
        <v>0.65</v>
      </c>
      <c r="AF25">
        <v>5.72</v>
      </c>
      <c r="AG25">
        <v>0.72</v>
      </c>
      <c r="AH25">
        <v>6.56</v>
      </c>
      <c r="AI25">
        <v>1.57</v>
      </c>
      <c r="AJ25">
        <v>6.33</v>
      </c>
      <c r="AK25">
        <v>1.33</v>
      </c>
      <c r="AL25">
        <v>6.41</v>
      </c>
      <c r="AM25">
        <v>1.42</v>
      </c>
      <c r="AN25">
        <v>6.82</v>
      </c>
      <c r="AO25">
        <v>1.83</v>
      </c>
    </row>
    <row r="26" spans="1:42" ht="33" customHeight="1">
      <c r="A26" s="6">
        <v>25</v>
      </c>
      <c r="B26" s="7" t="s">
        <v>64</v>
      </c>
      <c r="C26" s="6">
        <v>562</v>
      </c>
      <c r="D26" s="8">
        <v>52</v>
      </c>
      <c r="E26" s="8">
        <v>6</v>
      </c>
      <c r="F26" s="9">
        <f t="shared" si="0"/>
        <v>5.7225999999999999</v>
      </c>
      <c r="G26" s="9">
        <v>6</v>
      </c>
      <c r="H26" s="10">
        <f t="shared" si="1"/>
        <v>0.95376666666666665</v>
      </c>
      <c r="I26" s="9">
        <f t="shared" si="2"/>
        <v>-0.27740000000000009</v>
      </c>
      <c r="J26">
        <v>5.77</v>
      </c>
      <c r="K26">
        <v>0.05</v>
      </c>
      <c r="L26" s="26">
        <v>5.98</v>
      </c>
      <c r="M26" s="26">
        <v>0.26</v>
      </c>
      <c r="N26">
        <v>5.96</v>
      </c>
      <c r="O26">
        <v>0.23</v>
      </c>
      <c r="P26">
        <v>6</v>
      </c>
      <c r="Q26">
        <v>0.28000000000000003</v>
      </c>
      <c r="R26">
        <v>5.97</v>
      </c>
      <c r="S26">
        <v>0.25</v>
      </c>
      <c r="T26" s="26">
        <v>5.95</v>
      </c>
      <c r="U26" s="26">
        <v>0.23</v>
      </c>
      <c r="V26">
        <v>5.93</v>
      </c>
      <c r="W26">
        <v>0.21</v>
      </c>
      <c r="X26">
        <v>5.98</v>
      </c>
      <c r="Y26">
        <v>0.26</v>
      </c>
      <c r="Z26">
        <v>6.06</v>
      </c>
      <c r="AA26">
        <v>0.34</v>
      </c>
      <c r="AB26">
        <v>5.86</v>
      </c>
      <c r="AC26">
        <v>0.14000000000000001</v>
      </c>
      <c r="AD26">
        <v>6.08</v>
      </c>
      <c r="AE26">
        <v>0.36</v>
      </c>
      <c r="AF26">
        <v>5.93</v>
      </c>
      <c r="AG26">
        <v>0.21</v>
      </c>
      <c r="AH26">
        <v>6.95</v>
      </c>
      <c r="AI26">
        <v>1.22</v>
      </c>
      <c r="AJ26">
        <v>6.73</v>
      </c>
      <c r="AK26">
        <v>1</v>
      </c>
      <c r="AL26">
        <v>6.71</v>
      </c>
      <c r="AM26">
        <v>0.99</v>
      </c>
      <c r="AN26">
        <v>6.94</v>
      </c>
      <c r="AO26">
        <v>1.22</v>
      </c>
    </row>
    <row r="27" spans="1:42" ht="33" customHeight="1">
      <c r="A27" s="6">
        <v>26</v>
      </c>
      <c r="B27" s="7" t="s">
        <v>65</v>
      </c>
      <c r="C27" s="6">
        <v>320</v>
      </c>
      <c r="D27" s="8">
        <v>67</v>
      </c>
      <c r="E27" s="8">
        <v>8</v>
      </c>
      <c r="F27" s="9">
        <f t="shared" si="0"/>
        <v>5.8886620000000001</v>
      </c>
      <c r="G27" s="9">
        <v>7</v>
      </c>
      <c r="H27" s="10">
        <f t="shared" si="1"/>
        <v>0.73608275000000001</v>
      </c>
      <c r="I27" s="9">
        <f t="shared" si="2"/>
        <v>-2.1113379999999999</v>
      </c>
      <c r="J27">
        <v>6.24</v>
      </c>
      <c r="K27">
        <v>0.35</v>
      </c>
      <c r="L27" s="26">
        <v>5.86</v>
      </c>
      <c r="M27" s="26">
        <v>-0.03</v>
      </c>
      <c r="N27">
        <v>6.1</v>
      </c>
      <c r="O27">
        <v>0.21</v>
      </c>
      <c r="P27">
        <v>6.14</v>
      </c>
      <c r="Q27">
        <v>0.25</v>
      </c>
      <c r="R27">
        <v>6.21</v>
      </c>
      <c r="S27">
        <v>0.32</v>
      </c>
      <c r="T27" s="26">
        <v>6.21</v>
      </c>
      <c r="U27" s="26">
        <v>0.32</v>
      </c>
      <c r="V27">
        <v>6.12</v>
      </c>
      <c r="W27">
        <v>0.23</v>
      </c>
      <c r="X27">
        <v>6.09</v>
      </c>
      <c r="Y27">
        <v>0.2</v>
      </c>
      <c r="Z27">
        <v>6.06</v>
      </c>
      <c r="AA27">
        <v>0.18</v>
      </c>
      <c r="AB27">
        <v>6.16</v>
      </c>
      <c r="AC27">
        <v>0.27</v>
      </c>
      <c r="AD27">
        <v>6.01</v>
      </c>
      <c r="AE27">
        <v>0.12</v>
      </c>
      <c r="AF27">
        <v>6.41</v>
      </c>
      <c r="AG27">
        <v>0.52</v>
      </c>
      <c r="AH27">
        <v>6.9</v>
      </c>
      <c r="AI27">
        <v>1.01</v>
      </c>
      <c r="AJ27">
        <v>6.46</v>
      </c>
      <c r="AK27">
        <v>0.56999999999999995</v>
      </c>
      <c r="AL27">
        <v>7.03</v>
      </c>
      <c r="AM27">
        <v>1.1399999999999999</v>
      </c>
      <c r="AN27">
        <v>6.79</v>
      </c>
      <c r="AO27">
        <v>0.9</v>
      </c>
    </row>
    <row r="28" spans="1:42" ht="33" customHeight="1">
      <c r="A28" s="6">
        <v>27</v>
      </c>
      <c r="B28" s="7" t="s">
        <v>66</v>
      </c>
      <c r="C28" s="6">
        <v>344</v>
      </c>
      <c r="D28" s="8">
        <v>93</v>
      </c>
      <c r="E28" s="8">
        <v>11</v>
      </c>
      <c r="F28" s="9">
        <f t="shared" si="0"/>
        <v>7.3778540000000001</v>
      </c>
      <c r="G28" s="9">
        <v>8</v>
      </c>
      <c r="H28" s="10">
        <f t="shared" si="1"/>
        <v>0.67071400000000003</v>
      </c>
      <c r="I28" s="9">
        <f t="shared" si="2"/>
        <v>-3.6221459999999999</v>
      </c>
      <c r="J28">
        <v>7.4</v>
      </c>
      <c r="K28">
        <v>0.02</v>
      </c>
      <c r="L28" s="26">
        <v>7.68</v>
      </c>
      <c r="M28" s="26">
        <v>0.3</v>
      </c>
      <c r="N28">
        <v>7.54</v>
      </c>
      <c r="O28">
        <v>0.16</v>
      </c>
      <c r="P28">
        <v>7.68</v>
      </c>
      <c r="Q28">
        <v>0.3</v>
      </c>
      <c r="R28">
        <v>7.45</v>
      </c>
      <c r="S28">
        <v>7.0000000000000007E-2</v>
      </c>
      <c r="T28" s="26">
        <v>7.28</v>
      </c>
      <c r="U28" s="26">
        <v>-0.1</v>
      </c>
      <c r="V28">
        <v>7.21</v>
      </c>
      <c r="W28">
        <v>-0.17</v>
      </c>
      <c r="X28">
        <v>7.37</v>
      </c>
      <c r="Y28">
        <v>-0.01</v>
      </c>
      <c r="Z28">
        <v>7.62</v>
      </c>
      <c r="AA28">
        <v>0.24</v>
      </c>
      <c r="AB28">
        <v>7.27</v>
      </c>
      <c r="AC28">
        <v>-0.1</v>
      </c>
      <c r="AD28">
        <v>7.52</v>
      </c>
      <c r="AE28">
        <v>0.14000000000000001</v>
      </c>
      <c r="AF28">
        <v>7.6</v>
      </c>
      <c r="AG28">
        <v>0.22</v>
      </c>
      <c r="AH28">
        <v>6.28</v>
      </c>
      <c r="AI28">
        <v>-1.0900000000000001</v>
      </c>
      <c r="AJ28">
        <v>6.04</v>
      </c>
      <c r="AK28">
        <v>-1.33</v>
      </c>
      <c r="AL28">
        <v>6.23</v>
      </c>
      <c r="AM28">
        <v>-1.1499999999999999</v>
      </c>
      <c r="AN28">
        <v>6.79</v>
      </c>
      <c r="AO28">
        <v>-0.59</v>
      </c>
    </row>
    <row r="29" spans="1:42" ht="33" customHeight="1">
      <c r="A29" s="6"/>
      <c r="B29" s="7"/>
      <c r="C29" s="6"/>
      <c r="D29" s="8"/>
      <c r="E29" s="8">
        <f>SUM(E2:E28)</f>
        <v>301</v>
      </c>
      <c r="F29" s="9">
        <f>SUM(F2:F28)</f>
        <v>301.63678100000004</v>
      </c>
      <c r="G29" s="9">
        <f>SUM(G2:G28)</f>
        <v>308</v>
      </c>
      <c r="H29" s="10"/>
      <c r="I29" s="9"/>
      <c r="J29" s="21"/>
      <c r="K29" s="21"/>
      <c r="L29" s="27"/>
      <c r="M29" s="27"/>
      <c r="N29" s="21"/>
      <c r="O29" s="21"/>
      <c r="P29" s="21"/>
      <c r="Q29" s="21"/>
      <c r="R29" s="21"/>
      <c r="S29" s="21"/>
      <c r="T29" s="27"/>
      <c r="U29" s="27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2" ht="32.4" customHeight="1">
      <c r="H30" s="2" t="s">
        <v>77</v>
      </c>
      <c r="J30" s="23">
        <v>0.69799999999999995</v>
      </c>
      <c r="K30" s="23"/>
      <c r="L30" s="28">
        <v>0.879</v>
      </c>
      <c r="M30" s="28"/>
      <c r="N30" s="23">
        <v>0.80700000000000005</v>
      </c>
      <c r="O30" s="23"/>
      <c r="P30" s="23">
        <v>0.78200000000000003</v>
      </c>
      <c r="Q30" s="23"/>
      <c r="R30" s="23">
        <v>0.86299999999999999</v>
      </c>
      <c r="S30" s="23"/>
      <c r="T30" s="28">
        <v>0.879</v>
      </c>
      <c r="U30" s="28"/>
      <c r="V30" s="23">
        <v>0.85</v>
      </c>
      <c r="W30" s="23"/>
      <c r="X30" s="23">
        <v>0.83399999999999996</v>
      </c>
      <c r="Y30" s="23"/>
      <c r="Z30" s="23">
        <v>0.91300000000000003</v>
      </c>
      <c r="AA30" s="23"/>
      <c r="AB30" s="23">
        <v>0.88700000000000001</v>
      </c>
      <c r="AC30" s="23"/>
      <c r="AD30" s="23">
        <v>0.91</v>
      </c>
      <c r="AE30" s="23"/>
      <c r="AF30" s="23">
        <v>0.91300000000000003</v>
      </c>
      <c r="AG30" s="23"/>
      <c r="AH30" s="23">
        <v>0.81</v>
      </c>
      <c r="AI30" s="23"/>
      <c r="AJ30" s="23">
        <v>0.83799999999999997</v>
      </c>
      <c r="AK30" s="23"/>
      <c r="AL30" s="23">
        <v>0.84399999999999997</v>
      </c>
      <c r="AM30" s="23"/>
      <c r="AN30" s="23">
        <v>0.79700000000000004</v>
      </c>
      <c r="AO30" s="23"/>
      <c r="AP30" s="24"/>
    </row>
    <row r="31" spans="1:42" ht="28.8" customHeight="1">
      <c r="H31" s="2" t="s">
        <v>78</v>
      </c>
      <c r="J31" s="23">
        <v>14.981999999999999</v>
      </c>
      <c r="K31" s="23"/>
      <c r="L31" s="28">
        <v>16.817</v>
      </c>
      <c r="M31" s="28"/>
      <c r="N31" s="23">
        <v>16.731999999999999</v>
      </c>
      <c r="O31" s="23"/>
      <c r="P31" s="23">
        <v>17.114999999999998</v>
      </c>
      <c r="Q31" s="23"/>
      <c r="R31" s="23">
        <v>15.199</v>
      </c>
      <c r="S31" s="23"/>
      <c r="T31" s="28">
        <v>14.612</v>
      </c>
      <c r="U31" s="28"/>
      <c r="V31" s="23">
        <v>15.117000000000001</v>
      </c>
      <c r="W31" s="23"/>
      <c r="X31" s="23">
        <v>15.664999999999999</v>
      </c>
      <c r="Y31" s="23"/>
      <c r="Z31" s="23">
        <v>18.213000000000001</v>
      </c>
      <c r="AA31" s="23"/>
      <c r="AB31" s="23">
        <v>16.797999999999998</v>
      </c>
      <c r="AC31" s="23"/>
      <c r="AD31" s="23">
        <v>17.789000000000001</v>
      </c>
      <c r="AE31" s="23"/>
      <c r="AF31" s="23">
        <v>16.414000000000001</v>
      </c>
      <c r="AG31" s="23"/>
      <c r="AH31" s="23">
        <v>23.646999999999998</v>
      </c>
      <c r="AI31" s="23"/>
      <c r="AJ31" s="23">
        <v>22.413</v>
      </c>
      <c r="AK31" s="23"/>
      <c r="AL31" s="23">
        <v>21.995000000000001</v>
      </c>
      <c r="AM31" s="23"/>
      <c r="AN31" s="23">
        <v>25.248999999999999</v>
      </c>
      <c r="AO31" s="23"/>
      <c r="AP31" s="24"/>
    </row>
    <row r="32" spans="1:42" ht="26.4" customHeight="1">
      <c r="H32" s="2" t="s">
        <v>79</v>
      </c>
      <c r="J32" s="23">
        <v>0.373</v>
      </c>
      <c r="K32" s="23"/>
      <c r="L32" s="28">
        <v>0.505</v>
      </c>
      <c r="M32" s="28"/>
      <c r="N32" s="23">
        <v>0.60599999999999998</v>
      </c>
      <c r="O32" s="23"/>
      <c r="P32" s="23">
        <v>0.64</v>
      </c>
      <c r="Q32" s="23"/>
      <c r="R32" s="23">
        <v>0.747</v>
      </c>
      <c r="S32" s="23"/>
      <c r="T32" s="28">
        <v>0.7</v>
      </c>
      <c r="U32" s="28"/>
      <c r="V32" s="23">
        <v>0.63400000000000001</v>
      </c>
      <c r="W32" s="23"/>
      <c r="X32" s="23">
        <v>0.68600000000000005</v>
      </c>
      <c r="Y32" s="23"/>
      <c r="Z32" s="23">
        <v>0.46100000000000002</v>
      </c>
      <c r="AA32" s="23"/>
      <c r="AB32" s="23">
        <v>0.35599999999999998</v>
      </c>
      <c r="AC32" s="23"/>
      <c r="AD32" s="23">
        <v>0.47</v>
      </c>
      <c r="AE32" s="23"/>
      <c r="AF32" s="23">
        <v>0.39100000000000001</v>
      </c>
      <c r="AG32" s="23"/>
      <c r="AH32" s="23">
        <v>0.874</v>
      </c>
      <c r="AI32" s="23"/>
      <c r="AJ32" s="23">
        <v>0.86899999999999999</v>
      </c>
      <c r="AK32" s="23"/>
      <c r="AL32" s="23">
        <v>0.91200000000000003</v>
      </c>
      <c r="AM32" s="23"/>
      <c r="AN32" s="23">
        <v>0.81399999999999995</v>
      </c>
      <c r="AO32" s="23"/>
      <c r="AP32" s="24"/>
    </row>
    <row r="33" spans="8:42" ht="25.8" customHeight="1">
      <c r="H33" s="2" t="s">
        <v>80</v>
      </c>
      <c r="J33" s="23" t="s">
        <v>67</v>
      </c>
      <c r="K33" s="23"/>
      <c r="L33" s="28" t="s">
        <v>67</v>
      </c>
      <c r="M33" s="28"/>
      <c r="N33" s="23" t="s">
        <v>67</v>
      </c>
      <c r="O33" s="23"/>
      <c r="P33" s="23" t="s">
        <v>67</v>
      </c>
      <c r="Q33" s="23"/>
      <c r="R33" s="23" t="s">
        <v>67</v>
      </c>
      <c r="S33" s="23"/>
      <c r="T33" s="28" t="s">
        <v>67</v>
      </c>
      <c r="U33" s="28"/>
      <c r="V33" s="23" t="s">
        <v>67</v>
      </c>
      <c r="W33" s="23"/>
      <c r="X33" s="23" t="s">
        <v>67</v>
      </c>
      <c r="Y33" s="23"/>
      <c r="Z33" s="23" t="s">
        <v>67</v>
      </c>
      <c r="AA33" s="23"/>
      <c r="AB33" s="23" t="s">
        <v>67</v>
      </c>
      <c r="AC33" s="23"/>
      <c r="AD33" s="23" t="s">
        <v>67</v>
      </c>
      <c r="AE33" s="23"/>
      <c r="AF33" s="23" t="s">
        <v>67</v>
      </c>
      <c r="AG33" s="23"/>
      <c r="AH33" s="23" t="s">
        <v>67</v>
      </c>
      <c r="AI33" s="23"/>
      <c r="AJ33" s="23" t="s">
        <v>67</v>
      </c>
      <c r="AK33" s="23"/>
      <c r="AL33" s="23" t="s">
        <v>67</v>
      </c>
      <c r="AM33" s="23"/>
      <c r="AN33" s="23" t="s">
        <v>67</v>
      </c>
      <c r="AO33" s="23"/>
      <c r="AP33" s="24"/>
    </row>
    <row r="34" spans="8:42" ht="27" customHeight="1">
      <c r="H34" s="2" t="s">
        <v>81</v>
      </c>
      <c r="J34" s="23">
        <v>0.29499999999999998</v>
      </c>
      <c r="K34" s="23"/>
      <c r="L34" s="28">
        <v>0.46800000000000003</v>
      </c>
      <c r="M34" s="28"/>
      <c r="N34" s="23">
        <v>0.47699999999999998</v>
      </c>
      <c r="O34" s="23"/>
      <c r="P34" s="23">
        <v>0.47</v>
      </c>
      <c r="Q34" s="23"/>
      <c r="R34" s="23">
        <v>0.61</v>
      </c>
      <c r="S34" s="23"/>
      <c r="T34" s="28">
        <v>0.61799999999999999</v>
      </c>
      <c r="U34" s="28"/>
      <c r="V34" s="23">
        <v>0.57799999999999996</v>
      </c>
      <c r="W34" s="23"/>
      <c r="X34" s="23">
        <v>0.57899999999999996</v>
      </c>
      <c r="Y34" s="23"/>
      <c r="Z34" s="23">
        <v>0.47499999999999998</v>
      </c>
      <c r="AA34" s="23"/>
      <c r="AB34" s="23">
        <v>0.39200000000000002</v>
      </c>
      <c r="AC34" s="23"/>
      <c r="AD34" s="23">
        <v>0.442</v>
      </c>
      <c r="AE34" s="23"/>
      <c r="AF34" s="23">
        <v>0.44900000000000001</v>
      </c>
      <c r="AG34" s="23"/>
      <c r="AH34" s="23">
        <v>0.316</v>
      </c>
      <c r="AI34" s="23"/>
      <c r="AJ34" s="23">
        <v>0.42299999999999999</v>
      </c>
      <c r="AK34" s="23"/>
      <c r="AL34" s="23">
        <v>0.42899999999999999</v>
      </c>
      <c r="AM34" s="23"/>
      <c r="AN34" s="23">
        <v>0.23400000000000001</v>
      </c>
      <c r="AO34" s="23"/>
      <c r="AP34" s="24"/>
    </row>
    <row r="35" spans="8:42" ht="31.8" customHeight="1">
      <c r="H35" s="2" t="s">
        <v>82</v>
      </c>
      <c r="J35" s="23" t="s">
        <v>67</v>
      </c>
      <c r="K35" s="23"/>
      <c r="L35" s="28" t="s">
        <v>67</v>
      </c>
      <c r="M35" s="28"/>
      <c r="N35" s="23" t="s">
        <v>67</v>
      </c>
      <c r="O35" s="23"/>
      <c r="P35" s="23" t="s">
        <v>67</v>
      </c>
      <c r="Q35" s="23"/>
      <c r="R35" s="23" t="s">
        <v>67</v>
      </c>
      <c r="S35" s="23"/>
      <c r="T35" s="28" t="s">
        <v>67</v>
      </c>
      <c r="U35" s="28"/>
      <c r="V35" s="23" t="s">
        <v>67</v>
      </c>
      <c r="W35" s="23"/>
      <c r="X35" s="23" t="s">
        <v>67</v>
      </c>
      <c r="Y35" s="23"/>
      <c r="Z35" s="23" t="s">
        <v>67</v>
      </c>
      <c r="AA35" s="23"/>
      <c r="AB35" s="23" t="s">
        <v>67</v>
      </c>
      <c r="AC35" s="23"/>
      <c r="AD35" s="23" t="s">
        <v>67</v>
      </c>
      <c r="AE35" s="23"/>
      <c r="AF35" s="23" t="s">
        <v>67</v>
      </c>
      <c r="AG35" s="23"/>
      <c r="AH35" s="23" t="s">
        <v>67</v>
      </c>
      <c r="AI35" s="23"/>
      <c r="AJ35" s="23" t="s">
        <v>67</v>
      </c>
      <c r="AK35" s="23"/>
      <c r="AL35" s="23" t="s">
        <v>67</v>
      </c>
      <c r="AM35" s="23"/>
      <c r="AN35" s="23" t="s">
        <v>67</v>
      </c>
      <c r="AO35" s="23"/>
      <c r="AP35" s="24"/>
    </row>
    <row r="36" spans="8:42" ht="25.8" customHeight="1">
      <c r="H36" s="2" t="s">
        <v>83</v>
      </c>
      <c r="J36" s="23">
        <v>0.48199999999999998</v>
      </c>
      <c r="K36" s="23"/>
      <c r="L36" s="28">
        <v>0.60299999999999998</v>
      </c>
      <c r="M36" s="28"/>
      <c r="N36" s="23">
        <v>0.71199999999999997</v>
      </c>
      <c r="O36" s="23"/>
      <c r="P36" s="23">
        <v>0.69399999999999995</v>
      </c>
      <c r="Q36" s="23"/>
      <c r="R36" s="23">
        <v>0.74399999999999999</v>
      </c>
      <c r="S36" s="23"/>
      <c r="T36" s="28">
        <v>0.75800000000000001</v>
      </c>
      <c r="U36" s="28"/>
      <c r="V36" s="23">
        <v>0.73099999999999998</v>
      </c>
      <c r="W36" s="23"/>
      <c r="X36" s="23">
        <v>0.71899999999999997</v>
      </c>
      <c r="Y36" s="23"/>
      <c r="Z36" s="23">
        <v>0.49099999999999999</v>
      </c>
      <c r="AA36" s="23"/>
      <c r="AB36" s="23">
        <v>0.48799999999999999</v>
      </c>
      <c r="AC36" s="23"/>
      <c r="AD36" s="23">
        <v>0.501</v>
      </c>
      <c r="AE36" s="23"/>
      <c r="AF36" s="23">
        <v>0.52100000000000002</v>
      </c>
      <c r="AG36" s="23"/>
      <c r="AH36" s="23">
        <v>0.44900000000000001</v>
      </c>
      <c r="AI36" s="23"/>
      <c r="AJ36" s="23">
        <v>0.56699999999999995</v>
      </c>
      <c r="AK36" s="23"/>
      <c r="AL36" s="23">
        <v>0.56499999999999995</v>
      </c>
      <c r="AM36" s="23"/>
      <c r="AN36" s="23">
        <v>0.437</v>
      </c>
      <c r="AO36" s="23"/>
      <c r="AP36" s="24"/>
    </row>
    <row r="37" spans="8:42" ht="22.8" customHeight="1">
      <c r="H37" s="2" t="s">
        <v>84</v>
      </c>
      <c r="J37" s="23" t="s">
        <v>67</v>
      </c>
      <c r="K37" s="23"/>
      <c r="L37" s="28" t="s">
        <v>67</v>
      </c>
      <c r="M37" s="28"/>
      <c r="N37" s="23" t="s">
        <v>67</v>
      </c>
      <c r="O37" s="23"/>
      <c r="P37" s="23" t="s">
        <v>67</v>
      </c>
      <c r="Q37" s="23"/>
      <c r="R37" s="23" t="s">
        <v>67</v>
      </c>
      <c r="S37" s="23"/>
      <c r="T37" s="28" t="s">
        <v>67</v>
      </c>
      <c r="U37" s="28"/>
      <c r="V37" s="23" t="s">
        <v>67</v>
      </c>
      <c r="W37" s="23"/>
      <c r="X37" s="23" t="s">
        <v>67</v>
      </c>
      <c r="Y37" s="23"/>
      <c r="Z37" s="23" t="s">
        <v>67</v>
      </c>
      <c r="AA37" s="23"/>
      <c r="AB37" s="23" t="s">
        <v>67</v>
      </c>
      <c r="AC37" s="23"/>
      <c r="AD37" s="23" t="s">
        <v>67</v>
      </c>
      <c r="AE37" s="23"/>
      <c r="AF37" s="23" t="s">
        <v>67</v>
      </c>
      <c r="AG37" s="23"/>
      <c r="AH37" s="23" t="s">
        <v>67</v>
      </c>
      <c r="AI37" s="23"/>
      <c r="AJ37" s="23" t="s">
        <v>67</v>
      </c>
      <c r="AK37" s="23"/>
      <c r="AL37" s="23" t="s">
        <v>67</v>
      </c>
      <c r="AM37" s="23"/>
      <c r="AN37" s="23" t="s">
        <v>67</v>
      </c>
      <c r="AO37" s="23"/>
      <c r="AP37" s="24"/>
    </row>
    <row r="38" spans="8:42" ht="31.8" customHeight="1">
      <c r="H38" s="2" t="s">
        <v>85</v>
      </c>
      <c r="J38" s="23">
        <v>0.63200000000000001</v>
      </c>
      <c r="K38" s="23"/>
      <c r="L38" s="28">
        <v>0.66700000000000004</v>
      </c>
      <c r="M38" s="28"/>
      <c r="N38" s="23">
        <v>0.66800000000000004</v>
      </c>
      <c r="O38" s="23"/>
      <c r="P38" s="23">
        <v>0.71299999999999997</v>
      </c>
      <c r="Q38" s="23"/>
      <c r="R38" s="23">
        <v>0.88500000000000001</v>
      </c>
      <c r="S38" s="23"/>
      <c r="T38" s="28">
        <v>0.88800000000000001</v>
      </c>
      <c r="U38" s="28"/>
      <c r="V38" s="23">
        <v>0.92</v>
      </c>
      <c r="W38" s="23"/>
      <c r="X38" s="23">
        <v>0.92400000000000004</v>
      </c>
      <c r="Y38" s="23"/>
      <c r="Z38" s="23">
        <v>0.93100000000000005</v>
      </c>
      <c r="AA38" s="23"/>
      <c r="AB38" s="23">
        <v>0.95099999999999996</v>
      </c>
      <c r="AC38" s="23"/>
      <c r="AD38" s="23">
        <v>0.95799999999999996</v>
      </c>
      <c r="AE38" s="23"/>
      <c r="AF38" s="23">
        <v>1.012</v>
      </c>
      <c r="AG38" s="23"/>
      <c r="AH38" s="23">
        <v>1.286</v>
      </c>
      <c r="AI38" s="23"/>
      <c r="AJ38" s="23">
        <v>1.42</v>
      </c>
      <c r="AK38" s="23"/>
      <c r="AL38" s="23">
        <v>1.4219999999999999</v>
      </c>
      <c r="AM38" s="23"/>
      <c r="AN38" s="23">
        <v>1.448</v>
      </c>
      <c r="AO38" s="23"/>
      <c r="AP38" s="24"/>
    </row>
    <row r="39" spans="8:42" ht="24.6" customHeight="1">
      <c r="H39" s="2" t="s">
        <v>86</v>
      </c>
      <c r="J39" s="24">
        <v>1.06</v>
      </c>
      <c r="K39" s="24"/>
      <c r="L39" s="29">
        <v>1.0209999999999999</v>
      </c>
      <c r="M39" s="29"/>
      <c r="N39" s="24">
        <v>1.0169999999999999</v>
      </c>
      <c r="O39" s="24"/>
      <c r="P39" s="24">
        <v>1.0009999999999999</v>
      </c>
      <c r="Q39" s="24"/>
      <c r="R39" s="24">
        <v>1.1859999999999999</v>
      </c>
      <c r="S39" s="24"/>
      <c r="T39" s="29">
        <v>1.2010000000000001</v>
      </c>
      <c r="U39" s="29"/>
      <c r="V39" s="24">
        <v>1.2230000000000001</v>
      </c>
      <c r="W39" s="24"/>
      <c r="X39" s="24">
        <v>1.212</v>
      </c>
      <c r="Y39" s="24"/>
      <c r="Z39" s="24">
        <v>1.2</v>
      </c>
      <c r="AA39" s="24"/>
      <c r="AB39" s="24">
        <v>1.258</v>
      </c>
      <c r="AC39" s="24"/>
      <c r="AD39" s="24">
        <v>1.2210000000000001</v>
      </c>
      <c r="AE39" s="24"/>
      <c r="AF39" s="24">
        <v>1.3</v>
      </c>
      <c r="AG39" s="24"/>
      <c r="AH39" s="24">
        <v>1.5349999999999999</v>
      </c>
      <c r="AI39" s="24"/>
      <c r="AJ39" s="24">
        <v>1.6639999999999999</v>
      </c>
      <c r="AK39" s="24"/>
      <c r="AL39" s="24">
        <v>1.625</v>
      </c>
      <c r="AM39" s="24"/>
      <c r="AN39" s="24">
        <v>1.6839999999999999</v>
      </c>
      <c r="AO39" s="24"/>
      <c r="AP39" s="24"/>
    </row>
    <row r="40" spans="8:42">
      <c r="J40" s="24"/>
      <c r="K40" s="24"/>
      <c r="L40" s="29"/>
      <c r="M40" s="29"/>
      <c r="N40" s="24"/>
      <c r="O40" s="24"/>
      <c r="P40" s="24"/>
      <c r="Q40" s="24"/>
      <c r="R40" s="24"/>
      <c r="S40" s="24"/>
      <c r="T40" s="29"/>
      <c r="U40" s="29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</row>
    <row r="41" spans="8:42">
      <c r="J41" s="24"/>
      <c r="K41" s="24"/>
      <c r="L41" s="29"/>
      <c r="M41" s="29"/>
      <c r="N41" s="24"/>
      <c r="O41" s="24"/>
      <c r="P41" s="24"/>
      <c r="Q41" s="24"/>
      <c r="R41" s="24"/>
      <c r="S41" s="24"/>
      <c r="T41" s="29"/>
      <c r="U41" s="29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</row>
    <row r="42" spans="8:42">
      <c r="J42" s="24"/>
      <c r="K42" s="24"/>
      <c r="L42" s="29"/>
      <c r="M42" s="29"/>
      <c r="N42" s="24"/>
      <c r="O42" s="24"/>
      <c r="P42" s="24"/>
      <c r="Q42" s="24"/>
      <c r="R42" s="24"/>
      <c r="S42" s="24"/>
      <c r="T42" s="29"/>
      <c r="U42" s="29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</row>
  </sheetData>
  <autoFilter ref="A1:K39" xr:uid="{00000000-0009-0000-0000-000001000000}">
    <sortState xmlns:xlrd2="http://schemas.microsoft.com/office/spreadsheetml/2017/richdata2" ref="A2:K29">
      <sortCondition ref="A1"/>
    </sortState>
  </autoFilter>
  <phoneticPr fontId="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不含组织员</vt:lpstr>
      <vt:lpstr>含组织员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zzb20180907</dc:creator>
  <cp:lastModifiedBy>高弘 龙</cp:lastModifiedBy>
  <dcterms:created xsi:type="dcterms:W3CDTF">2026-05-18T01:25:00Z</dcterms:created>
  <dcterms:modified xsi:type="dcterms:W3CDTF">2026-06-21T08:32:14Z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B181AD1F2DC242D4A572C01A69A0B1DE_13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