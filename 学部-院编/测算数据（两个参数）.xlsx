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6522\Desktop\新建文件夹\"/>
    </mc:Choice>
  </mc:AlternateContent>
  <xr:revisionPtr revIDLastSave="0" documentId="13_ncr:1_{3F1ADF71-726D-4A50-84E8-887D1AA3AF1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不含组织员" sheetId="1" r:id="rId1"/>
    <sheet name="含组织员" sheetId="2" r:id="rId2"/>
  </sheets>
  <definedNames>
    <definedName name="_xlnm._FilterDatabase" localSheetId="0" hidden="1">不含组织员!$A$1:$G$30</definedName>
    <definedName name="_xlnm._FilterDatabase" localSheetId="1" hidden="1">含组织员!$A$1:$L$44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2" l="1"/>
  <c r="E31" i="2"/>
  <c r="L30" i="2"/>
  <c r="F30" i="2"/>
  <c r="L29" i="2"/>
  <c r="F29" i="2"/>
  <c r="L28" i="2"/>
  <c r="F28" i="2"/>
  <c r="L27" i="2"/>
  <c r="F27" i="2"/>
  <c r="L26" i="2"/>
  <c r="F26" i="2"/>
  <c r="L25" i="2"/>
  <c r="F25" i="2"/>
  <c r="L24" i="2"/>
  <c r="F24" i="2"/>
  <c r="L23" i="2"/>
  <c r="F23" i="2"/>
  <c r="L22" i="2"/>
  <c r="F22" i="2"/>
  <c r="L21" i="2"/>
  <c r="F21" i="2"/>
  <c r="L20" i="2"/>
  <c r="F20" i="2"/>
  <c r="L19" i="2"/>
  <c r="F19" i="2"/>
  <c r="L18" i="2"/>
  <c r="F18" i="2"/>
  <c r="L17" i="2"/>
  <c r="F17" i="2"/>
  <c r="L16" i="2"/>
  <c r="F16" i="2"/>
  <c r="L15" i="2"/>
  <c r="F15" i="2"/>
  <c r="L14" i="2"/>
  <c r="F14" i="2"/>
  <c r="L13" i="2"/>
  <c r="F13" i="2"/>
  <c r="L12" i="2"/>
  <c r="F12" i="2"/>
  <c r="L11" i="2"/>
  <c r="F11" i="2"/>
  <c r="L10" i="2"/>
  <c r="F10" i="2"/>
  <c r="L9" i="2"/>
  <c r="F9" i="2"/>
  <c r="L8" i="2"/>
  <c r="F8" i="2"/>
  <c r="L7" i="2"/>
  <c r="F7" i="2"/>
  <c r="L6" i="2"/>
  <c r="F6" i="2"/>
  <c r="L5" i="2"/>
  <c r="F5" i="2"/>
  <c r="L4" i="2"/>
  <c r="F4" i="2"/>
  <c r="L3" i="2"/>
  <c r="F3" i="2"/>
  <c r="L2" i="2"/>
  <c r="F2" i="2"/>
  <c r="H9" i="2" l="1"/>
  <c r="I2" i="2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L31" i="2"/>
  <c r="F31" i="2"/>
  <c r="M30" i="2"/>
  <c r="I30" i="2"/>
  <c r="H30" i="2"/>
  <c r="M29" i="2"/>
  <c r="I29" i="2"/>
  <c r="H29" i="2"/>
  <c r="M28" i="2"/>
  <c r="I28" i="2"/>
  <c r="H28" i="2"/>
  <c r="M27" i="2"/>
  <c r="I27" i="2"/>
  <c r="H27" i="2"/>
  <c r="M26" i="2"/>
  <c r="I26" i="2"/>
  <c r="H26" i="2"/>
  <c r="M25" i="2"/>
  <c r="I25" i="2"/>
  <c r="H25" i="2"/>
  <c r="M24" i="2"/>
  <c r="I24" i="2"/>
  <c r="H24" i="2"/>
  <c r="M23" i="2"/>
  <c r="I23" i="2"/>
  <c r="H23" i="2"/>
  <c r="M22" i="2"/>
  <c r="I22" i="2"/>
  <c r="H22" i="2"/>
  <c r="M21" i="2"/>
  <c r="I21" i="2"/>
  <c r="H21" i="2"/>
  <c r="M20" i="2"/>
  <c r="I20" i="2"/>
  <c r="H20" i="2"/>
  <c r="M19" i="2"/>
  <c r="I19" i="2"/>
  <c r="H19" i="2"/>
  <c r="M18" i="2"/>
  <c r="I18" i="2"/>
  <c r="H18" i="2"/>
  <c r="M17" i="2"/>
  <c r="I17" i="2"/>
  <c r="H17" i="2"/>
  <c r="M16" i="2"/>
  <c r="I16" i="2"/>
  <c r="H16" i="2"/>
  <c r="M15" i="2"/>
  <c r="I15" i="2"/>
  <c r="H15" i="2"/>
  <c r="M14" i="2"/>
  <c r="I14" i="2"/>
  <c r="H14" i="2"/>
  <c r="M13" i="2"/>
  <c r="I13" i="2"/>
  <c r="H13" i="2"/>
  <c r="M12" i="2"/>
  <c r="I12" i="2"/>
  <c r="H12" i="2"/>
  <c r="M11" i="2"/>
  <c r="I11" i="2"/>
  <c r="H11" i="2"/>
  <c r="M10" i="2"/>
  <c r="I10" i="2"/>
  <c r="H10" i="2"/>
  <c r="M8" i="2"/>
  <c r="I8" i="2"/>
  <c r="H8" i="2"/>
  <c r="M7" i="2"/>
  <c r="I7" i="2"/>
  <c r="H7" i="2"/>
  <c r="M6" i="2"/>
  <c r="I6" i="2"/>
  <c r="H6" i="2"/>
  <c r="M5" i="2"/>
  <c r="I5" i="2"/>
  <c r="H5" i="2"/>
  <c r="M4" i="2"/>
  <c r="I4" i="2"/>
  <c r="H4" i="2"/>
  <c r="M3" i="2"/>
  <c r="I3" i="2"/>
  <c r="H3" i="2"/>
  <c r="M2" i="2"/>
  <c r="H2" i="2"/>
  <c r="M9" i="2"/>
  <c r="I9" i="2"/>
  <c r="M31" i="2" l="1"/>
</calcChain>
</file>

<file path=xl/sharedStrings.xml><?xml version="1.0" encoding="utf-8"?>
<sst xmlns="http://schemas.openxmlformats.org/spreadsheetml/2006/main" count="91" uniqueCount="59">
  <si>
    <t>序号</t>
  </si>
  <si>
    <t>单位</t>
  </si>
  <si>
    <t>学生数</t>
  </si>
  <si>
    <t>教师数</t>
  </si>
  <si>
    <t>管理岗人数</t>
  </si>
  <si>
    <t>拟合数
（参数1）</t>
  </si>
  <si>
    <t>拟合数
（参数2）</t>
  </si>
  <si>
    <t>吻合度</t>
  </si>
  <si>
    <t>差额</t>
  </si>
  <si>
    <t>十五五</t>
  </si>
  <si>
    <t>土木工程学院</t>
  </si>
  <si>
    <t>测绘与地理信息学院</t>
  </si>
  <si>
    <t>建筑与城市规划学院</t>
  </si>
  <si>
    <t>经济与管理学院</t>
  </si>
  <si>
    <t>机械工程与机器人学院</t>
  </si>
  <si>
    <t>环境科学与工程学院，联合国环境规划署-同济大学环境与可持续发展学院</t>
  </si>
  <si>
    <t>电子与信息工程学院</t>
  </si>
  <si>
    <t>材料科学与工程学院</t>
  </si>
  <si>
    <t>计算机科学与技术学院</t>
  </si>
  <si>
    <t>数学科学学院</t>
  </si>
  <si>
    <t>物理科学与工程学院</t>
  </si>
  <si>
    <t>化学科学与工程学院</t>
  </si>
  <si>
    <t>海洋与地球科学学院</t>
  </si>
  <si>
    <t>航空航天与力学学院</t>
  </si>
  <si>
    <t>交通学院</t>
  </si>
  <si>
    <t>汽车与能源学院</t>
  </si>
  <si>
    <t>医学院</t>
  </si>
  <si>
    <t>生命科学与技术学院</t>
  </si>
  <si>
    <t>外国语学院</t>
  </si>
  <si>
    <t>国际文化交流学院</t>
  </si>
  <si>
    <t>设计创意学院</t>
  </si>
  <si>
    <t>艺术与传媒学院</t>
  </si>
  <si>
    <t>人文学院</t>
  </si>
  <si>
    <t>政治与国际关系学院</t>
  </si>
  <si>
    <t>法学院</t>
  </si>
  <si>
    <t>上海国际知识产权学院</t>
  </si>
  <si>
    <t>马克思主义学院</t>
  </si>
  <si>
    <t>中德工程学院,职业技术教育学院</t>
  </si>
  <si>
    <t>体育部</t>
  </si>
  <si>
    <t>医学与生命科学部</t>
  </si>
  <si>
    <t>出国培训学院，留德预备部</t>
  </si>
  <si>
    <t>网络教育学院，继续教育学院</t>
  </si>
  <si>
    <t>中德学院</t>
  </si>
  <si>
    <t>创新创业学院</t>
  </si>
  <si>
    <t>新生院</t>
  </si>
  <si>
    <t>国豪书院（未来技术学院）</t>
  </si>
  <si>
    <t>国家卓越工程师学院，国际工程师学院</t>
  </si>
  <si>
    <t>中意工程创新学院</t>
  </si>
  <si>
    <t>启迪书院</t>
  </si>
  <si>
    <t>口腔医学院</t>
  </si>
  <si>
    <t>上海自主智能无人系统科学中心</t>
  </si>
  <si>
    <t>同济大学上海国际设计创新学院</t>
  </si>
  <si>
    <t>学院</t>
  </si>
  <si>
    <t>管理岗现状</t>
  </si>
  <si>
    <t>拟合数</t>
  </si>
  <si>
    <t>计算机科学与技术学院（软件学院）</t>
  </si>
  <si>
    <t>交通学院（铁道与城市轨道交通研究院），未减去磁浮中心的数量</t>
  </si>
  <si>
    <t>中德工程学院，职业技术教育学院</t>
  </si>
  <si>
    <t>体育部（国际足球学院）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</si>
</sst>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_ "/>
    <numFmt numFmtId="177" formatCode="0.0%"/>
  </numFmts>
  <fonts count="1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宋体"/>
      <charset val="134"/>
    </font>
    <font>
      <sz val="11"/>
      <color theme="1"/>
      <name val="Times New Roman"/>
      <family val="1"/>
    </font>
    <font>
      <sz val="11"/>
      <color indexed="8"/>
      <name val="仿宋_GB2312"/>
      <charset val="134"/>
    </font>
    <font>
      <sz val="11"/>
      <name val="Times New Roman"/>
      <family val="1"/>
    </font>
    <font>
      <sz val="11"/>
      <color rgb="FF000000"/>
      <name val="仿宋_GB231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8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opLeftCell="A21" zoomScale="115" zoomScaleNormal="115" workbookViewId="0">
      <selection activeCell="E2" sqref="E2:E30"/>
    </sheetView>
  </sheetViews>
  <sheetFormatPr defaultColWidth="9" defaultRowHeight="14.4"/>
  <cols>
    <col min="1" max="1" width="9" style="2" customWidth="1"/>
    <col min="2" max="2" width="42.77734375" style="2" customWidth="1"/>
    <col min="3" max="3" width="22" style="2" customWidth="1"/>
    <col min="4" max="4" width="9" style="2" customWidth="1"/>
    <col min="5" max="5" width="17.21875" style="2" customWidth="1"/>
    <col min="6" max="6" width="8.6640625" style="2" customWidth="1"/>
    <col min="7" max="7" width="24.77734375" style="15" customWidth="1"/>
    <col min="8" max="8" width="9" style="2" customWidth="1"/>
    <col min="9" max="16384" width="9" style="2"/>
  </cols>
  <sheetData>
    <row r="1" spans="1:7">
      <c r="A1" s="3" t="s">
        <v>0</v>
      </c>
      <c r="B1" s="3" t="s">
        <v>52</v>
      </c>
      <c r="C1" s="16" t="s">
        <v>53</v>
      </c>
      <c r="D1" s="17" t="s">
        <v>2</v>
      </c>
      <c r="E1" s="16" t="s">
        <v>3</v>
      </c>
      <c r="F1" s="1" t="s">
        <v>54</v>
      </c>
      <c r="G1" s="18" t="s">
        <v>7</v>
      </c>
    </row>
    <row r="2" spans="1:7" ht="33" customHeight="1">
      <c r="A2" s="7">
        <v>1</v>
      </c>
      <c r="B2" s="8" t="s">
        <v>10</v>
      </c>
      <c r="C2" s="19">
        <v>22</v>
      </c>
      <c r="D2" s="7">
        <v>1820</v>
      </c>
      <c r="E2" s="9">
        <v>255</v>
      </c>
      <c r="F2" s="14">
        <v>17.8184</v>
      </c>
      <c r="G2" s="20">
        <f t="shared" ref="G2:G30" si="0">MIN(C2,F2)/MAX(C2,F2)</f>
        <v>0.80992727272727272</v>
      </c>
    </row>
    <row r="3" spans="1:7" ht="33" customHeight="1">
      <c r="A3" s="7">
        <v>2</v>
      </c>
      <c r="B3" s="8" t="s">
        <v>11</v>
      </c>
      <c r="C3" s="19">
        <v>4</v>
      </c>
      <c r="D3" s="7">
        <v>504</v>
      </c>
      <c r="E3" s="9">
        <v>80</v>
      </c>
      <c r="F3" s="14">
        <v>6.2698</v>
      </c>
      <c r="G3" s="20">
        <f t="shared" si="0"/>
        <v>0.63797888289897609</v>
      </c>
    </row>
    <row r="4" spans="1:7" ht="33" customHeight="1">
      <c r="A4" s="7">
        <v>3</v>
      </c>
      <c r="B4" s="8" t="s">
        <v>12</v>
      </c>
      <c r="C4" s="19">
        <v>17</v>
      </c>
      <c r="D4" s="7">
        <v>1612</v>
      </c>
      <c r="E4" s="9">
        <v>230</v>
      </c>
      <c r="F4" s="14">
        <v>16.1266</v>
      </c>
      <c r="G4" s="20">
        <f t="shared" si="0"/>
        <v>0.94862352941176464</v>
      </c>
    </row>
    <row r="5" spans="1:7" ht="33" customHeight="1">
      <c r="A5" s="7">
        <v>4</v>
      </c>
      <c r="B5" s="8" t="s">
        <v>13</v>
      </c>
      <c r="C5" s="19">
        <v>20</v>
      </c>
      <c r="D5" s="7">
        <v>1860</v>
      </c>
      <c r="E5" s="9">
        <v>180</v>
      </c>
      <c r="F5" s="14">
        <v>14.1374</v>
      </c>
      <c r="G5" s="20">
        <f t="shared" si="0"/>
        <v>0.70687</v>
      </c>
    </row>
    <row r="6" spans="1:7" ht="33" customHeight="1">
      <c r="A6" s="7">
        <v>5</v>
      </c>
      <c r="B6" s="8" t="s">
        <v>14</v>
      </c>
      <c r="C6" s="19">
        <v>9</v>
      </c>
      <c r="D6" s="7">
        <v>1444</v>
      </c>
      <c r="E6" s="9">
        <v>105</v>
      </c>
      <c r="F6" s="14">
        <v>9.4987999999999992</v>
      </c>
      <c r="G6" s="20">
        <f t="shared" si="0"/>
        <v>0.9474881037604751</v>
      </c>
    </row>
    <row r="7" spans="1:7" ht="33" customHeight="1">
      <c r="A7" s="7">
        <v>6</v>
      </c>
      <c r="B7" s="8" t="s">
        <v>15</v>
      </c>
      <c r="C7" s="19">
        <v>16</v>
      </c>
      <c r="D7" s="7">
        <v>1084</v>
      </c>
      <c r="E7" s="9">
        <v>180</v>
      </c>
      <c r="F7" s="14">
        <v>12.5078</v>
      </c>
      <c r="G7" s="20">
        <f t="shared" si="0"/>
        <v>0.78173749999999997</v>
      </c>
    </row>
    <row r="8" spans="1:7" ht="33" customHeight="1">
      <c r="A8" s="7">
        <v>7</v>
      </c>
      <c r="B8" s="8" t="s">
        <v>16</v>
      </c>
      <c r="C8" s="19">
        <v>14</v>
      </c>
      <c r="D8" s="7">
        <v>2809</v>
      </c>
      <c r="E8" s="9">
        <v>230</v>
      </c>
      <c r="F8" s="14">
        <v>18.6403</v>
      </c>
      <c r="G8" s="20">
        <f t="shared" si="0"/>
        <v>0.75106087348379591</v>
      </c>
    </row>
    <row r="9" spans="1:7" ht="33" customHeight="1">
      <c r="A9" s="7">
        <v>8</v>
      </c>
      <c r="B9" s="8" t="s">
        <v>17</v>
      </c>
      <c r="C9" s="19">
        <v>8</v>
      </c>
      <c r="D9" s="7">
        <v>902</v>
      </c>
      <c r="E9" s="9">
        <v>120</v>
      </c>
      <c r="F9" s="14">
        <v>9.1135999999999999</v>
      </c>
      <c r="G9" s="20">
        <f t="shared" si="0"/>
        <v>0.87780898876404501</v>
      </c>
    </row>
    <row r="10" spans="1:7" ht="33" customHeight="1">
      <c r="A10" s="7">
        <v>9</v>
      </c>
      <c r="B10" s="8" t="s">
        <v>55</v>
      </c>
      <c r="C10" s="19">
        <v>10</v>
      </c>
      <c r="D10" s="7">
        <v>2040</v>
      </c>
      <c r="E10" s="9">
        <v>200</v>
      </c>
      <c r="F10" s="14">
        <v>15.519400000000001</v>
      </c>
      <c r="G10" s="20">
        <f t="shared" si="0"/>
        <v>0.64435480753121899</v>
      </c>
    </row>
    <row r="11" spans="1:7" ht="33" customHeight="1">
      <c r="A11" s="7">
        <v>10</v>
      </c>
      <c r="B11" s="8" t="s">
        <v>19</v>
      </c>
      <c r="C11" s="19">
        <v>5</v>
      </c>
      <c r="D11" s="7">
        <v>604</v>
      </c>
      <c r="E11" s="9">
        <v>110</v>
      </c>
      <c r="F11" s="14">
        <v>7.9858000000000002</v>
      </c>
      <c r="G11" s="20">
        <f t="shared" si="0"/>
        <v>0.62611134764206466</v>
      </c>
    </row>
    <row r="12" spans="1:7" ht="33" customHeight="1">
      <c r="A12" s="7">
        <v>11</v>
      </c>
      <c r="B12" s="8" t="s">
        <v>20</v>
      </c>
      <c r="C12" s="19">
        <v>5</v>
      </c>
      <c r="D12" s="7">
        <v>583</v>
      </c>
      <c r="E12" s="9">
        <v>120</v>
      </c>
      <c r="F12" s="14">
        <v>8.4436999999999998</v>
      </c>
      <c r="G12" s="20">
        <f t="shared" si="0"/>
        <v>0.59215746651349532</v>
      </c>
    </row>
    <row r="13" spans="1:7" ht="33" customHeight="1">
      <c r="A13" s="7">
        <v>12</v>
      </c>
      <c r="B13" s="8" t="s">
        <v>21</v>
      </c>
      <c r="C13" s="19">
        <v>6</v>
      </c>
      <c r="D13" s="7">
        <v>548</v>
      </c>
      <c r="E13" s="9">
        <v>90</v>
      </c>
      <c r="F13" s="14">
        <v>6.8641999999999994</v>
      </c>
      <c r="G13" s="20">
        <f t="shared" si="0"/>
        <v>0.87410040499985442</v>
      </c>
    </row>
    <row r="14" spans="1:7" ht="33" customHeight="1">
      <c r="A14" s="7">
        <v>13</v>
      </c>
      <c r="B14" s="8" t="s">
        <v>22</v>
      </c>
      <c r="C14" s="19">
        <v>7</v>
      </c>
      <c r="D14" s="7">
        <v>470</v>
      </c>
      <c r="E14" s="9">
        <v>100</v>
      </c>
      <c r="F14" s="14">
        <v>7.2024000000000008</v>
      </c>
      <c r="G14" s="20">
        <f t="shared" si="0"/>
        <v>0.97189825613684322</v>
      </c>
    </row>
    <row r="15" spans="1:7" ht="33" customHeight="1">
      <c r="A15" s="7">
        <v>14</v>
      </c>
      <c r="B15" s="8" t="s">
        <v>23</v>
      </c>
      <c r="C15" s="19">
        <v>6</v>
      </c>
      <c r="D15" s="7">
        <v>607</v>
      </c>
      <c r="E15" s="9">
        <v>100</v>
      </c>
      <c r="F15" s="14">
        <v>7.4901</v>
      </c>
      <c r="G15" s="20">
        <f t="shared" si="0"/>
        <v>0.80105739576240642</v>
      </c>
    </row>
    <row r="16" spans="1:7" ht="33" customHeight="1">
      <c r="A16" s="7">
        <v>15</v>
      </c>
      <c r="B16" s="8" t="s">
        <v>56</v>
      </c>
      <c r="C16" s="19">
        <v>18</v>
      </c>
      <c r="D16" s="7">
        <v>1804</v>
      </c>
      <c r="E16" s="9">
        <v>200</v>
      </c>
      <c r="F16" s="14">
        <v>15.023800000000001</v>
      </c>
      <c r="G16" s="20">
        <f t="shared" si="0"/>
        <v>0.83465555555555559</v>
      </c>
    </row>
    <row r="17" spans="1:7" ht="33" customHeight="1">
      <c r="A17" s="7">
        <v>16</v>
      </c>
      <c r="B17" s="8" t="s">
        <v>25</v>
      </c>
      <c r="C17" s="19">
        <v>9</v>
      </c>
      <c r="D17" s="7">
        <v>1514</v>
      </c>
      <c r="E17" s="9">
        <v>125</v>
      </c>
      <c r="F17" s="14">
        <v>10.649799999999999</v>
      </c>
      <c r="G17" s="20">
        <f t="shared" si="0"/>
        <v>0.84508629270033253</v>
      </c>
    </row>
    <row r="18" spans="1:7" ht="33" customHeight="1">
      <c r="A18" s="7">
        <v>17</v>
      </c>
      <c r="B18" s="8" t="s">
        <v>26</v>
      </c>
      <c r="C18" s="19">
        <v>19</v>
      </c>
      <c r="D18" s="7">
        <v>2650</v>
      </c>
      <c r="E18" s="9">
        <v>180</v>
      </c>
      <c r="F18" s="14">
        <v>15.796399999999998</v>
      </c>
      <c r="G18" s="20">
        <f t="shared" si="0"/>
        <v>0.83138947368421046</v>
      </c>
    </row>
    <row r="19" spans="1:7" ht="33" customHeight="1">
      <c r="A19" s="7">
        <v>18</v>
      </c>
      <c r="B19" s="8" t="s">
        <v>27</v>
      </c>
      <c r="C19" s="19">
        <v>7</v>
      </c>
      <c r="D19" s="7">
        <v>557</v>
      </c>
      <c r="E19" s="9">
        <v>120</v>
      </c>
      <c r="F19" s="14">
        <v>8.3890999999999991</v>
      </c>
      <c r="G19" s="20">
        <f t="shared" si="0"/>
        <v>0.83441608754216789</v>
      </c>
    </row>
    <row r="20" spans="1:7" ht="33" customHeight="1">
      <c r="A20" s="7">
        <v>19</v>
      </c>
      <c r="B20" s="8" t="s">
        <v>28</v>
      </c>
      <c r="C20" s="19">
        <v>11</v>
      </c>
      <c r="D20" s="7">
        <v>623</v>
      </c>
      <c r="E20" s="9">
        <v>140</v>
      </c>
      <c r="F20" s="14">
        <v>9.5317000000000007</v>
      </c>
      <c r="G20" s="20">
        <f t="shared" si="0"/>
        <v>0.86651818181818185</v>
      </c>
    </row>
    <row r="21" spans="1:7" ht="33" customHeight="1">
      <c r="A21" s="7">
        <v>20</v>
      </c>
      <c r="B21" s="8" t="s">
        <v>29</v>
      </c>
      <c r="C21" s="19">
        <v>4</v>
      </c>
      <c r="D21" s="7">
        <v>344</v>
      </c>
      <c r="E21" s="9">
        <v>24</v>
      </c>
      <c r="F21" s="14">
        <v>3.1226000000000003</v>
      </c>
      <c r="G21" s="20">
        <f t="shared" si="0"/>
        <v>0.78065000000000007</v>
      </c>
    </row>
    <row r="22" spans="1:7" ht="33" customHeight="1">
      <c r="A22" s="7">
        <v>21</v>
      </c>
      <c r="B22" s="8" t="s">
        <v>30</v>
      </c>
      <c r="C22" s="19">
        <v>8</v>
      </c>
      <c r="D22" s="7">
        <v>740</v>
      </c>
      <c r="E22" s="9">
        <v>55</v>
      </c>
      <c r="F22" s="14">
        <v>5.5103999999999997</v>
      </c>
      <c r="G22" s="20">
        <f t="shared" si="0"/>
        <v>0.68879999999999997</v>
      </c>
    </row>
    <row r="23" spans="1:7" ht="33" customHeight="1">
      <c r="A23" s="7">
        <v>22</v>
      </c>
      <c r="B23" s="8" t="s">
        <v>31</v>
      </c>
      <c r="C23" s="19">
        <v>6</v>
      </c>
      <c r="D23" s="7">
        <v>829</v>
      </c>
      <c r="E23" s="9">
        <v>70</v>
      </c>
      <c r="F23" s="14">
        <v>6.4503000000000004</v>
      </c>
      <c r="G23" s="20">
        <f t="shared" si="0"/>
        <v>0.93018929352123148</v>
      </c>
    </row>
    <row r="24" spans="1:7" ht="33" customHeight="1">
      <c r="A24" s="7">
        <v>23</v>
      </c>
      <c r="B24" s="8" t="s">
        <v>32</v>
      </c>
      <c r="C24" s="19">
        <v>6</v>
      </c>
      <c r="D24" s="7">
        <v>682</v>
      </c>
      <c r="E24" s="9">
        <v>95</v>
      </c>
      <c r="F24" s="14">
        <v>7.3966000000000003</v>
      </c>
      <c r="G24" s="20">
        <f t="shared" si="0"/>
        <v>0.81118351675093958</v>
      </c>
    </row>
    <row r="25" spans="1:7" ht="33" customHeight="1">
      <c r="A25" s="7">
        <v>24</v>
      </c>
      <c r="B25" s="8" t="s">
        <v>33</v>
      </c>
      <c r="C25" s="19">
        <v>2</v>
      </c>
      <c r="D25" s="7">
        <v>334</v>
      </c>
      <c r="E25" s="9">
        <v>50</v>
      </c>
      <c r="F25" s="14">
        <v>4.4068000000000005</v>
      </c>
      <c r="G25" s="20">
        <f t="shared" si="0"/>
        <v>0.45384405918126525</v>
      </c>
    </row>
    <row r="26" spans="1:7" ht="33" customHeight="1">
      <c r="A26" s="7">
        <v>25</v>
      </c>
      <c r="B26" s="8" t="s">
        <v>34</v>
      </c>
      <c r="C26" s="19">
        <v>6</v>
      </c>
      <c r="D26" s="7">
        <v>553</v>
      </c>
      <c r="E26" s="9">
        <v>50</v>
      </c>
      <c r="F26" s="14">
        <v>4.8666999999999998</v>
      </c>
      <c r="G26" s="20">
        <f t="shared" si="0"/>
        <v>0.8111166666666666</v>
      </c>
    </row>
    <row r="27" spans="1:7" ht="33" customHeight="1">
      <c r="A27" s="7">
        <v>26</v>
      </c>
      <c r="B27" s="8" t="s">
        <v>35</v>
      </c>
      <c r="C27" s="19">
        <v>3</v>
      </c>
      <c r="D27" s="7">
        <v>210</v>
      </c>
      <c r="E27" s="9">
        <v>35</v>
      </c>
      <c r="F27" s="14">
        <v>3.3934000000000002</v>
      </c>
      <c r="G27" s="20">
        <f t="shared" si="0"/>
        <v>0.88406907526374723</v>
      </c>
    </row>
    <row r="28" spans="1:7" ht="33" customHeight="1">
      <c r="A28" s="7">
        <v>27</v>
      </c>
      <c r="B28" s="8" t="s">
        <v>36</v>
      </c>
      <c r="C28" s="19">
        <v>7</v>
      </c>
      <c r="D28" s="7">
        <v>277</v>
      </c>
      <c r="E28" s="9">
        <v>80</v>
      </c>
      <c r="F28" s="14">
        <v>5.7930999999999999</v>
      </c>
      <c r="G28" s="20">
        <f t="shared" si="0"/>
        <v>0.82758571428571426</v>
      </c>
    </row>
    <row r="29" spans="1:7" ht="33" customHeight="1">
      <c r="A29" s="7">
        <v>28</v>
      </c>
      <c r="B29" s="8" t="s">
        <v>57</v>
      </c>
      <c r="C29" s="19">
        <v>4</v>
      </c>
      <c r="D29" s="7">
        <v>2880</v>
      </c>
      <c r="E29" s="9">
        <v>20</v>
      </c>
      <c r="F29" s="14">
        <v>8.2474000000000007</v>
      </c>
      <c r="G29" s="20">
        <f t="shared" si="0"/>
        <v>0.48500133375366777</v>
      </c>
    </row>
    <row r="30" spans="1:7" ht="33" customHeight="1">
      <c r="A30" s="7">
        <v>29</v>
      </c>
      <c r="B30" s="8" t="s">
        <v>58</v>
      </c>
      <c r="C30" s="19">
        <v>10</v>
      </c>
      <c r="D30" s="7">
        <v>376</v>
      </c>
      <c r="E30" s="9">
        <v>86</v>
      </c>
      <c r="F30" s="14">
        <v>6.3021999999999991</v>
      </c>
      <c r="G30" s="20">
        <f t="shared" si="0"/>
        <v>0.63021999999999989</v>
      </c>
    </row>
  </sheetData>
  <autoFilter ref="A1:G30" xr:uid="{00000000-0009-0000-0000-000000000000}">
    <sortState xmlns:xlrd2="http://schemas.microsoft.com/office/spreadsheetml/2017/richdata2" ref="A2:G30">
      <sortCondition ref="A1"/>
    </sortState>
  </autoFilter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abSelected="1" zoomScale="70" zoomScaleNormal="70" workbookViewId="0">
      <selection activeCell="D2" sqref="D2:D30"/>
    </sheetView>
  </sheetViews>
  <sheetFormatPr defaultColWidth="9" defaultRowHeight="14.4"/>
  <cols>
    <col min="1" max="1" width="9" style="2" customWidth="1"/>
    <col min="2" max="2" width="42.77734375" style="2" customWidth="1"/>
    <col min="3" max="3" width="9" style="2" customWidth="1"/>
    <col min="4" max="4" width="17.21875" style="2" customWidth="1"/>
    <col min="5" max="5" width="16.109375" style="2" customWidth="1"/>
    <col min="6" max="7" width="17.33203125" style="2" customWidth="1"/>
    <col min="8" max="8" width="9" style="2" customWidth="1"/>
    <col min="9" max="11" width="13" style="2" customWidth="1"/>
    <col min="12" max="12" width="11.88671875" style="2" customWidth="1"/>
    <col min="13" max="13" width="14.109375" style="2" customWidth="1"/>
    <col min="14" max="14" width="9" style="2" customWidth="1"/>
    <col min="15" max="16384" width="9" style="2"/>
  </cols>
  <sheetData>
    <row r="1" spans="1:13" s="1" customFormat="1" ht="48.6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21" t="s">
        <v>5</v>
      </c>
      <c r="G1" s="21" t="s">
        <v>6</v>
      </c>
      <c r="H1" s="5" t="s">
        <v>7</v>
      </c>
      <c r="I1" s="5" t="s">
        <v>8</v>
      </c>
      <c r="J1" s="6" t="s">
        <v>2</v>
      </c>
      <c r="K1" s="6" t="s">
        <v>3</v>
      </c>
      <c r="L1" s="5" t="s">
        <v>9</v>
      </c>
      <c r="M1" s="5" t="s">
        <v>8</v>
      </c>
    </row>
    <row r="2" spans="1:13" ht="33" customHeight="1">
      <c r="A2" s="7">
        <v>1</v>
      </c>
      <c r="B2" s="8" t="s">
        <v>10</v>
      </c>
      <c r="C2" s="7">
        <v>1820</v>
      </c>
      <c r="D2" s="9">
        <v>255</v>
      </c>
      <c r="E2" s="9">
        <v>27</v>
      </c>
      <c r="F2" s="10">
        <f t="shared" ref="F2:F30" si="0">1.35179+0.002709*C2+0.054776*D2</f>
        <v>20.250050000000002</v>
      </c>
      <c r="G2" s="10">
        <v>25</v>
      </c>
      <c r="H2" s="11">
        <f t="shared" ref="H2:H30" si="1">MIN(E2,F2)/MAX(E2,F2)</f>
        <v>0.75000185185185186</v>
      </c>
      <c r="I2" s="10">
        <f t="shared" ref="I2:I30" si="2">F2-E2</f>
        <v>-6.7499499999999983</v>
      </c>
      <c r="J2" s="10">
        <v>3080</v>
      </c>
      <c r="K2" s="10">
        <v>255</v>
      </c>
      <c r="L2" s="10">
        <f t="shared" ref="L2:L30" si="3">1.35179+0.002709*J2+0.054776*K2</f>
        <v>23.66339</v>
      </c>
      <c r="M2" s="10">
        <f t="shared" ref="M2:M31" si="4">L2-F2</f>
        <v>3.413339999999998</v>
      </c>
    </row>
    <row r="3" spans="1:13" ht="33" customHeight="1">
      <c r="A3" s="7">
        <v>2</v>
      </c>
      <c r="B3" s="8" t="s">
        <v>11</v>
      </c>
      <c r="C3" s="7">
        <v>504</v>
      </c>
      <c r="D3" s="9">
        <v>80</v>
      </c>
      <c r="E3" s="9">
        <v>5</v>
      </c>
      <c r="F3" s="10">
        <f t="shared" si="0"/>
        <v>7.0992060000000006</v>
      </c>
      <c r="G3" s="10">
        <v>7</v>
      </c>
      <c r="H3" s="11">
        <f t="shared" si="1"/>
        <v>0.70430411513625601</v>
      </c>
      <c r="I3" s="10">
        <f t="shared" si="2"/>
        <v>2.0992060000000006</v>
      </c>
      <c r="J3" s="10">
        <v>824</v>
      </c>
      <c r="K3" s="10">
        <v>80</v>
      </c>
      <c r="L3" s="10">
        <f t="shared" si="3"/>
        <v>7.9660860000000007</v>
      </c>
      <c r="M3" s="10">
        <f t="shared" si="4"/>
        <v>0.86688000000000009</v>
      </c>
    </row>
    <row r="4" spans="1:13" ht="33" customHeight="1">
      <c r="A4" s="7">
        <v>3</v>
      </c>
      <c r="B4" s="8" t="s">
        <v>12</v>
      </c>
      <c r="C4" s="7">
        <v>1612</v>
      </c>
      <c r="D4" s="9">
        <v>230</v>
      </c>
      <c r="E4" s="9">
        <v>20</v>
      </c>
      <c r="F4" s="10">
        <f t="shared" si="0"/>
        <v>18.317178000000002</v>
      </c>
      <c r="G4" s="10">
        <v>20</v>
      </c>
      <c r="H4" s="11">
        <f t="shared" si="1"/>
        <v>0.91585890000000014</v>
      </c>
      <c r="I4" s="10">
        <f t="shared" si="2"/>
        <v>-1.682821999999998</v>
      </c>
      <c r="J4" s="10">
        <v>2132</v>
      </c>
      <c r="K4" s="10">
        <v>230</v>
      </c>
      <c r="L4" s="10">
        <f t="shared" si="3"/>
        <v>19.725858000000002</v>
      </c>
      <c r="M4" s="10">
        <f t="shared" si="4"/>
        <v>1.4086800000000004</v>
      </c>
    </row>
    <row r="5" spans="1:13" ht="33" customHeight="1">
      <c r="A5" s="7">
        <v>4</v>
      </c>
      <c r="B5" s="8" t="s">
        <v>13</v>
      </c>
      <c r="C5" s="7">
        <v>1860</v>
      </c>
      <c r="D5" s="9">
        <v>180</v>
      </c>
      <c r="E5" s="9">
        <v>22</v>
      </c>
      <c r="F5" s="10">
        <f t="shared" si="0"/>
        <v>16.250209999999999</v>
      </c>
      <c r="G5" s="10">
        <v>16</v>
      </c>
      <c r="H5" s="11">
        <f t="shared" si="1"/>
        <v>0.7386459090909091</v>
      </c>
      <c r="I5" s="10">
        <f t="shared" si="2"/>
        <v>-5.7497900000000008</v>
      </c>
      <c r="J5" s="10">
        <v>2260</v>
      </c>
      <c r="K5" s="10">
        <v>180</v>
      </c>
      <c r="L5" s="10">
        <f t="shared" si="3"/>
        <v>17.33381</v>
      </c>
      <c r="M5" s="10">
        <f t="shared" si="4"/>
        <v>1.0836000000000006</v>
      </c>
    </row>
    <row r="6" spans="1:13" ht="33" customHeight="1">
      <c r="A6" s="7">
        <v>5</v>
      </c>
      <c r="B6" s="8" t="s">
        <v>14</v>
      </c>
      <c r="C6" s="7">
        <v>1444</v>
      </c>
      <c r="D6" s="9">
        <v>105</v>
      </c>
      <c r="E6" s="9">
        <v>11</v>
      </c>
      <c r="F6" s="10">
        <f t="shared" si="0"/>
        <v>11.015066000000001</v>
      </c>
      <c r="G6" s="10">
        <v>9</v>
      </c>
      <c r="H6" s="11">
        <f t="shared" si="1"/>
        <v>0.99863223697434034</v>
      </c>
      <c r="I6" s="10">
        <f t="shared" si="2"/>
        <v>1.5066000000000912E-2</v>
      </c>
      <c r="J6" s="10">
        <v>1924</v>
      </c>
      <c r="K6" s="10">
        <v>105</v>
      </c>
      <c r="L6" s="10">
        <f t="shared" si="3"/>
        <v>12.315386</v>
      </c>
      <c r="M6" s="10">
        <f t="shared" si="4"/>
        <v>1.3003199999999993</v>
      </c>
    </row>
    <row r="7" spans="1:13" ht="33" customHeight="1">
      <c r="A7" s="7">
        <v>6</v>
      </c>
      <c r="B7" s="8" t="s">
        <v>15</v>
      </c>
      <c r="C7" s="7">
        <v>1084</v>
      </c>
      <c r="D7" s="9">
        <v>180</v>
      </c>
      <c r="E7" s="9">
        <v>17</v>
      </c>
      <c r="F7" s="10">
        <f t="shared" si="0"/>
        <v>14.148025999999998</v>
      </c>
      <c r="G7" s="10">
        <v>15</v>
      </c>
      <c r="H7" s="11">
        <f t="shared" si="1"/>
        <v>0.83223682352941164</v>
      </c>
      <c r="I7" s="10">
        <f t="shared" si="2"/>
        <v>-2.851974000000002</v>
      </c>
      <c r="J7" s="10">
        <v>1804</v>
      </c>
      <c r="K7" s="10">
        <v>180</v>
      </c>
      <c r="L7" s="10">
        <f t="shared" si="3"/>
        <v>16.098506</v>
      </c>
      <c r="M7" s="10">
        <f t="shared" si="4"/>
        <v>1.9504800000000024</v>
      </c>
    </row>
    <row r="8" spans="1:13" ht="33" customHeight="1">
      <c r="A8" s="7">
        <v>7</v>
      </c>
      <c r="B8" s="8" t="s">
        <v>16</v>
      </c>
      <c r="C8" s="7">
        <v>2809</v>
      </c>
      <c r="D8" s="9">
        <v>230</v>
      </c>
      <c r="E8" s="9">
        <v>16</v>
      </c>
      <c r="F8" s="10">
        <f t="shared" si="0"/>
        <v>21.559851000000002</v>
      </c>
      <c r="G8" s="10">
        <v>21</v>
      </c>
      <c r="H8" s="11">
        <f t="shared" si="1"/>
        <v>0.74212015658178709</v>
      </c>
      <c r="I8" s="10">
        <f t="shared" si="2"/>
        <v>5.5598510000000019</v>
      </c>
      <c r="J8" s="10">
        <v>3529</v>
      </c>
      <c r="K8" s="10">
        <v>230</v>
      </c>
      <c r="L8" s="10">
        <f t="shared" si="3"/>
        <v>23.510331000000001</v>
      </c>
      <c r="M8" s="10">
        <f t="shared" si="4"/>
        <v>1.9504799999999989</v>
      </c>
    </row>
    <row r="9" spans="1:13" ht="33" customHeight="1">
      <c r="A9" s="7">
        <v>8</v>
      </c>
      <c r="B9" s="8" t="s">
        <v>17</v>
      </c>
      <c r="C9" s="7">
        <v>902</v>
      </c>
      <c r="D9" s="9">
        <v>120</v>
      </c>
      <c r="E9" s="9">
        <v>9</v>
      </c>
      <c r="F9" s="10">
        <f t="shared" si="0"/>
        <v>10.368428</v>
      </c>
      <c r="G9" s="10">
        <v>10</v>
      </c>
      <c r="H9" s="11">
        <f t="shared" si="1"/>
        <v>0.86801972295125163</v>
      </c>
      <c r="I9" s="10">
        <f t="shared" si="2"/>
        <v>1.3684279999999998</v>
      </c>
      <c r="J9" s="10">
        <v>1342</v>
      </c>
      <c r="K9" s="10">
        <v>120</v>
      </c>
      <c r="L9" s="10">
        <f t="shared" si="3"/>
        <v>11.560388</v>
      </c>
      <c r="M9" s="10">
        <f t="shared" si="4"/>
        <v>1.1919599999999999</v>
      </c>
    </row>
    <row r="10" spans="1:13" ht="33" customHeight="1">
      <c r="A10" s="7">
        <v>9</v>
      </c>
      <c r="B10" s="8" t="s">
        <v>18</v>
      </c>
      <c r="C10" s="7">
        <v>2040</v>
      </c>
      <c r="D10" s="9">
        <v>200</v>
      </c>
      <c r="E10" s="9">
        <v>12</v>
      </c>
      <c r="F10" s="10">
        <f t="shared" si="0"/>
        <v>17.833349999999999</v>
      </c>
      <c r="G10" s="10">
        <v>14</v>
      </c>
      <c r="H10" s="11">
        <f t="shared" si="1"/>
        <v>0.67289656738638559</v>
      </c>
      <c r="I10" s="10">
        <f t="shared" si="2"/>
        <v>5.8333499999999994</v>
      </c>
      <c r="J10" s="10">
        <v>3060</v>
      </c>
      <c r="K10" s="10">
        <v>200</v>
      </c>
      <c r="L10" s="10">
        <f t="shared" si="3"/>
        <v>20.596530000000001</v>
      </c>
      <c r="M10" s="10">
        <f t="shared" si="4"/>
        <v>2.763180000000002</v>
      </c>
    </row>
    <row r="11" spans="1:13" ht="33" customHeight="1">
      <c r="A11" s="7">
        <v>10</v>
      </c>
      <c r="B11" s="8" t="s">
        <v>19</v>
      </c>
      <c r="C11" s="7">
        <v>604</v>
      </c>
      <c r="D11" s="9">
        <v>110</v>
      </c>
      <c r="E11" s="9">
        <v>6</v>
      </c>
      <c r="F11" s="10">
        <f t="shared" si="0"/>
        <v>9.0133860000000006</v>
      </c>
      <c r="G11" s="10">
        <v>8</v>
      </c>
      <c r="H11" s="11">
        <f t="shared" si="1"/>
        <v>0.66567658369451832</v>
      </c>
      <c r="I11" s="10">
        <f t="shared" si="2"/>
        <v>3.0133860000000006</v>
      </c>
      <c r="J11" s="10">
        <v>804</v>
      </c>
      <c r="K11" s="10">
        <v>110</v>
      </c>
      <c r="L11" s="10">
        <f t="shared" si="3"/>
        <v>9.5551859999999991</v>
      </c>
      <c r="M11" s="10">
        <f t="shared" si="4"/>
        <v>0.54179999999999851</v>
      </c>
    </row>
    <row r="12" spans="1:13" ht="33" customHeight="1">
      <c r="A12" s="7">
        <v>11</v>
      </c>
      <c r="B12" s="8" t="s">
        <v>20</v>
      </c>
      <c r="C12" s="7">
        <v>583</v>
      </c>
      <c r="D12" s="9">
        <v>120</v>
      </c>
      <c r="E12" s="9">
        <v>6</v>
      </c>
      <c r="F12" s="10">
        <f t="shared" si="0"/>
        <v>9.5042569999999991</v>
      </c>
      <c r="G12" s="10">
        <v>11</v>
      </c>
      <c r="H12" s="11">
        <f t="shared" si="1"/>
        <v>0.63129606028119822</v>
      </c>
      <c r="I12" s="10">
        <f t="shared" si="2"/>
        <v>3.5042569999999991</v>
      </c>
      <c r="J12" s="10">
        <v>1183</v>
      </c>
      <c r="K12" s="10">
        <v>120</v>
      </c>
      <c r="L12" s="10">
        <f t="shared" si="3"/>
        <v>11.129657</v>
      </c>
      <c r="M12" s="10">
        <f t="shared" si="4"/>
        <v>1.6254000000000008</v>
      </c>
    </row>
    <row r="13" spans="1:13" ht="33" customHeight="1">
      <c r="A13" s="7">
        <v>12</v>
      </c>
      <c r="B13" s="8" t="s">
        <v>21</v>
      </c>
      <c r="C13" s="7">
        <v>548</v>
      </c>
      <c r="D13" s="9">
        <v>90</v>
      </c>
      <c r="E13" s="9">
        <v>7</v>
      </c>
      <c r="F13" s="10">
        <f t="shared" si="0"/>
        <v>7.7661619999999996</v>
      </c>
      <c r="G13" s="10">
        <v>7</v>
      </c>
      <c r="H13" s="11">
        <f t="shared" si="1"/>
        <v>0.90134612180379448</v>
      </c>
      <c r="I13" s="10">
        <f t="shared" si="2"/>
        <v>0.76616199999999957</v>
      </c>
      <c r="J13" s="10">
        <v>948</v>
      </c>
      <c r="K13" s="10">
        <v>90</v>
      </c>
      <c r="L13" s="10">
        <f t="shared" si="3"/>
        <v>8.8497619999999984</v>
      </c>
      <c r="M13" s="10">
        <f t="shared" si="4"/>
        <v>1.0835999999999988</v>
      </c>
    </row>
    <row r="14" spans="1:13" ht="33" customHeight="1">
      <c r="A14" s="7">
        <v>13</v>
      </c>
      <c r="B14" s="8" t="s">
        <v>22</v>
      </c>
      <c r="C14" s="7">
        <v>470</v>
      </c>
      <c r="D14" s="9">
        <v>100</v>
      </c>
      <c r="E14" s="9">
        <v>8</v>
      </c>
      <c r="F14" s="10">
        <f t="shared" si="0"/>
        <v>8.1026199999999999</v>
      </c>
      <c r="G14" s="10">
        <v>9</v>
      </c>
      <c r="H14" s="11">
        <f t="shared" si="1"/>
        <v>0.98733496079046035</v>
      </c>
      <c r="I14" s="10">
        <f t="shared" si="2"/>
        <v>0.10261999999999993</v>
      </c>
      <c r="J14" s="10">
        <v>790</v>
      </c>
      <c r="K14" s="10">
        <v>100</v>
      </c>
      <c r="L14" s="10">
        <f t="shared" si="3"/>
        <v>8.9695</v>
      </c>
      <c r="M14" s="10">
        <f t="shared" si="4"/>
        <v>0.86688000000000009</v>
      </c>
    </row>
    <row r="15" spans="1:13" ht="33" customHeight="1">
      <c r="A15" s="7">
        <v>14</v>
      </c>
      <c r="B15" s="8" t="s">
        <v>23</v>
      </c>
      <c r="C15" s="7">
        <v>607</v>
      </c>
      <c r="D15" s="9">
        <v>100</v>
      </c>
      <c r="E15" s="9">
        <v>7</v>
      </c>
      <c r="F15" s="10">
        <f t="shared" si="0"/>
        <v>8.4737530000000003</v>
      </c>
      <c r="G15" s="10">
        <v>9</v>
      </c>
      <c r="H15" s="11">
        <f t="shared" si="1"/>
        <v>0.8260802503920045</v>
      </c>
      <c r="I15" s="10">
        <f t="shared" si="2"/>
        <v>1.4737530000000003</v>
      </c>
      <c r="J15" s="10">
        <v>967</v>
      </c>
      <c r="K15" s="10">
        <v>100</v>
      </c>
      <c r="L15" s="10">
        <f t="shared" si="3"/>
        <v>9.4489929999999998</v>
      </c>
      <c r="M15" s="10">
        <f t="shared" si="4"/>
        <v>0.97523999999999944</v>
      </c>
    </row>
    <row r="16" spans="1:13" ht="33" customHeight="1">
      <c r="A16" s="7">
        <v>15</v>
      </c>
      <c r="B16" s="12" t="s">
        <v>24</v>
      </c>
      <c r="C16" s="7">
        <v>1804</v>
      </c>
      <c r="D16" s="9">
        <v>200</v>
      </c>
      <c r="E16" s="9">
        <v>20</v>
      </c>
      <c r="F16" s="10">
        <f t="shared" si="0"/>
        <v>17.194026000000001</v>
      </c>
      <c r="G16" s="10">
        <v>18</v>
      </c>
      <c r="H16" s="11">
        <f t="shared" si="1"/>
        <v>0.8597013</v>
      </c>
      <c r="I16" s="10">
        <f t="shared" si="2"/>
        <v>-2.8059739999999991</v>
      </c>
      <c r="J16" s="10">
        <v>2564</v>
      </c>
      <c r="K16" s="10">
        <v>200</v>
      </c>
      <c r="L16" s="10">
        <f t="shared" si="3"/>
        <v>19.252865999999997</v>
      </c>
      <c r="M16" s="10">
        <f t="shared" si="4"/>
        <v>2.0588399999999965</v>
      </c>
    </row>
    <row r="17" spans="1:13" ht="33" customHeight="1">
      <c r="A17" s="7">
        <v>16</v>
      </c>
      <c r="B17" s="8" t="s">
        <v>25</v>
      </c>
      <c r="C17" s="7">
        <v>1514</v>
      </c>
      <c r="D17" s="9">
        <v>125</v>
      </c>
      <c r="E17" s="9">
        <v>11</v>
      </c>
      <c r="F17" s="10">
        <f t="shared" si="0"/>
        <v>12.300215999999999</v>
      </c>
      <c r="G17" s="10">
        <v>13</v>
      </c>
      <c r="H17" s="11">
        <f t="shared" si="1"/>
        <v>0.89429323842768293</v>
      </c>
      <c r="I17" s="10">
        <f t="shared" si="2"/>
        <v>1.3002159999999989</v>
      </c>
      <c r="J17" s="10">
        <v>2114</v>
      </c>
      <c r="K17" s="10">
        <v>125</v>
      </c>
      <c r="L17" s="10">
        <f t="shared" si="3"/>
        <v>13.925616</v>
      </c>
      <c r="M17" s="10">
        <f t="shared" si="4"/>
        <v>1.6254000000000008</v>
      </c>
    </row>
    <row r="18" spans="1:13" ht="33" customHeight="1">
      <c r="A18" s="7">
        <v>17</v>
      </c>
      <c r="B18" s="8" t="s">
        <v>26</v>
      </c>
      <c r="C18" s="7">
        <v>2650</v>
      </c>
      <c r="D18" s="9">
        <v>180</v>
      </c>
      <c r="E18" s="9">
        <v>22</v>
      </c>
      <c r="F18" s="10">
        <f t="shared" si="0"/>
        <v>18.390319999999999</v>
      </c>
      <c r="G18" s="10">
        <v>18</v>
      </c>
      <c r="H18" s="11">
        <f t="shared" si="1"/>
        <v>0.83592363636363631</v>
      </c>
      <c r="I18" s="10">
        <f t="shared" si="2"/>
        <v>-3.6096800000000009</v>
      </c>
      <c r="J18" s="10">
        <v>5530</v>
      </c>
      <c r="K18" s="10">
        <v>180</v>
      </c>
      <c r="L18" s="10">
        <f t="shared" si="3"/>
        <v>26.192239999999998</v>
      </c>
      <c r="M18" s="10">
        <f t="shared" si="4"/>
        <v>7.8019199999999991</v>
      </c>
    </row>
    <row r="19" spans="1:13" ht="33" customHeight="1">
      <c r="A19" s="7">
        <v>18</v>
      </c>
      <c r="B19" s="8" t="s">
        <v>27</v>
      </c>
      <c r="C19" s="7">
        <v>557</v>
      </c>
      <c r="D19" s="9">
        <v>120</v>
      </c>
      <c r="E19" s="9">
        <v>8</v>
      </c>
      <c r="F19" s="10">
        <f t="shared" si="0"/>
        <v>9.4338230000000003</v>
      </c>
      <c r="G19" s="10">
        <v>11</v>
      </c>
      <c r="H19" s="11">
        <f t="shared" si="1"/>
        <v>0.84801251836079605</v>
      </c>
      <c r="I19" s="10">
        <f t="shared" si="2"/>
        <v>1.4338230000000003</v>
      </c>
      <c r="J19" s="10">
        <v>1117</v>
      </c>
      <c r="K19" s="10">
        <v>120</v>
      </c>
      <c r="L19" s="10">
        <f t="shared" si="3"/>
        <v>10.950862999999998</v>
      </c>
      <c r="M19" s="10">
        <f t="shared" si="4"/>
        <v>1.5170399999999979</v>
      </c>
    </row>
    <row r="20" spans="1:13" ht="33" customHeight="1">
      <c r="A20" s="7">
        <v>19</v>
      </c>
      <c r="B20" s="8" t="s">
        <v>28</v>
      </c>
      <c r="C20" s="7">
        <v>623</v>
      </c>
      <c r="D20" s="9">
        <v>140</v>
      </c>
      <c r="E20" s="9">
        <v>12</v>
      </c>
      <c r="F20" s="10">
        <f t="shared" si="0"/>
        <v>10.708137000000001</v>
      </c>
      <c r="G20" s="10">
        <v>12</v>
      </c>
      <c r="H20" s="11">
        <f t="shared" si="1"/>
        <v>0.89234475000000002</v>
      </c>
      <c r="I20" s="10">
        <f t="shared" si="2"/>
        <v>-1.2918629999999993</v>
      </c>
      <c r="J20" s="10">
        <v>703</v>
      </c>
      <c r="K20" s="10">
        <v>140</v>
      </c>
      <c r="L20" s="10">
        <f t="shared" si="3"/>
        <v>10.924856999999999</v>
      </c>
      <c r="M20" s="10">
        <f t="shared" si="4"/>
        <v>0.21671999999999869</v>
      </c>
    </row>
    <row r="21" spans="1:13" ht="33" customHeight="1">
      <c r="A21" s="7">
        <v>20</v>
      </c>
      <c r="B21" s="8" t="s">
        <v>29</v>
      </c>
      <c r="C21" s="7">
        <v>344</v>
      </c>
      <c r="D21" s="9">
        <v>24</v>
      </c>
      <c r="E21" s="9">
        <v>4</v>
      </c>
      <c r="F21" s="10">
        <f t="shared" si="0"/>
        <v>3.5983100000000006</v>
      </c>
      <c r="G21" s="10">
        <v>4</v>
      </c>
      <c r="H21" s="11">
        <f t="shared" si="1"/>
        <v>0.89957750000000014</v>
      </c>
      <c r="I21" s="10">
        <f t="shared" si="2"/>
        <v>-0.40168999999999944</v>
      </c>
      <c r="J21" s="10">
        <v>0</v>
      </c>
      <c r="K21" s="10">
        <v>24</v>
      </c>
      <c r="L21" s="10">
        <f t="shared" si="3"/>
        <v>2.6664140000000001</v>
      </c>
      <c r="M21" s="10">
        <f t="shared" si="4"/>
        <v>-0.9318960000000005</v>
      </c>
    </row>
    <row r="22" spans="1:13" ht="33" customHeight="1">
      <c r="A22" s="7">
        <v>21</v>
      </c>
      <c r="B22" s="8" t="s">
        <v>30</v>
      </c>
      <c r="C22" s="7">
        <v>740</v>
      </c>
      <c r="D22" s="9">
        <v>55</v>
      </c>
      <c r="E22" s="9">
        <v>9</v>
      </c>
      <c r="F22" s="10">
        <f t="shared" si="0"/>
        <v>6.3691300000000002</v>
      </c>
      <c r="G22" s="10">
        <v>7</v>
      </c>
      <c r="H22" s="11">
        <f t="shared" si="1"/>
        <v>0.70768111111111109</v>
      </c>
      <c r="I22" s="10">
        <f t="shared" si="2"/>
        <v>-2.6308699999999998</v>
      </c>
      <c r="J22" s="10">
        <v>940</v>
      </c>
      <c r="K22" s="10">
        <v>55</v>
      </c>
      <c r="L22" s="10">
        <f t="shared" si="3"/>
        <v>6.9109300000000005</v>
      </c>
      <c r="M22" s="10">
        <f t="shared" si="4"/>
        <v>0.54180000000000028</v>
      </c>
    </row>
    <row r="23" spans="1:13" ht="33" customHeight="1">
      <c r="A23" s="7">
        <v>22</v>
      </c>
      <c r="B23" s="8" t="s">
        <v>31</v>
      </c>
      <c r="C23" s="7">
        <v>829</v>
      </c>
      <c r="D23" s="9">
        <v>70</v>
      </c>
      <c r="E23" s="9">
        <v>7</v>
      </c>
      <c r="F23" s="10">
        <f t="shared" si="0"/>
        <v>7.4318710000000001</v>
      </c>
      <c r="G23" s="10">
        <v>8</v>
      </c>
      <c r="H23" s="11">
        <f t="shared" si="1"/>
        <v>0.94188933042567613</v>
      </c>
      <c r="I23" s="10">
        <f t="shared" si="2"/>
        <v>0.43187100000000012</v>
      </c>
      <c r="J23" s="10"/>
      <c r="K23" s="10"/>
      <c r="L23" s="10">
        <f t="shared" si="3"/>
        <v>1.35179</v>
      </c>
      <c r="M23" s="10">
        <f t="shared" si="4"/>
        <v>-6.0800809999999998</v>
      </c>
    </row>
    <row r="24" spans="1:13" ht="33" customHeight="1">
      <c r="A24" s="7">
        <v>23</v>
      </c>
      <c r="B24" s="8" t="s">
        <v>32</v>
      </c>
      <c r="C24" s="7">
        <v>682</v>
      </c>
      <c r="D24" s="9">
        <v>95</v>
      </c>
      <c r="E24" s="9">
        <v>7</v>
      </c>
      <c r="F24" s="10">
        <f t="shared" si="0"/>
        <v>8.4030480000000001</v>
      </c>
      <c r="G24" s="10">
        <v>9</v>
      </c>
      <c r="H24" s="11">
        <f t="shared" si="1"/>
        <v>0.8330310620622422</v>
      </c>
      <c r="I24" s="10">
        <f t="shared" si="2"/>
        <v>1.4030480000000001</v>
      </c>
      <c r="J24" s="10">
        <v>822</v>
      </c>
      <c r="K24" s="10">
        <v>95</v>
      </c>
      <c r="L24" s="10">
        <f t="shared" si="3"/>
        <v>8.7823080000000004</v>
      </c>
      <c r="M24" s="10">
        <f t="shared" si="4"/>
        <v>0.37926000000000037</v>
      </c>
    </row>
    <row r="25" spans="1:13" ht="33" customHeight="1">
      <c r="A25" s="7">
        <v>24</v>
      </c>
      <c r="B25" s="8" t="s">
        <v>33</v>
      </c>
      <c r="C25" s="7">
        <v>334</v>
      </c>
      <c r="D25" s="9">
        <v>50</v>
      </c>
      <c r="E25" s="9">
        <v>3</v>
      </c>
      <c r="F25" s="10">
        <f t="shared" si="0"/>
        <v>4.9953959999999995</v>
      </c>
      <c r="G25" s="10">
        <v>6</v>
      </c>
      <c r="H25" s="11">
        <f t="shared" si="1"/>
        <v>0.60055298919244848</v>
      </c>
      <c r="I25" s="10">
        <f t="shared" si="2"/>
        <v>1.9953959999999995</v>
      </c>
      <c r="J25" s="10">
        <v>394</v>
      </c>
      <c r="K25" s="10">
        <v>50</v>
      </c>
      <c r="L25" s="10">
        <f t="shared" si="3"/>
        <v>5.1579359999999994</v>
      </c>
      <c r="M25" s="10">
        <f t="shared" si="4"/>
        <v>0.16253999999999991</v>
      </c>
    </row>
    <row r="26" spans="1:13" ht="33" customHeight="1">
      <c r="A26" s="7">
        <v>25</v>
      </c>
      <c r="B26" s="8" t="s">
        <v>34</v>
      </c>
      <c r="C26" s="7">
        <v>553</v>
      </c>
      <c r="D26" s="9">
        <v>50</v>
      </c>
      <c r="E26" s="9">
        <v>6</v>
      </c>
      <c r="F26" s="10">
        <f t="shared" si="0"/>
        <v>5.5886670000000001</v>
      </c>
      <c r="G26" s="10">
        <v>6</v>
      </c>
      <c r="H26" s="11">
        <f t="shared" si="1"/>
        <v>0.93144450000000001</v>
      </c>
      <c r="I26" s="10">
        <f t="shared" si="2"/>
        <v>-0.41133299999999995</v>
      </c>
      <c r="J26" s="10">
        <v>633</v>
      </c>
      <c r="K26" s="10">
        <v>55</v>
      </c>
      <c r="L26" s="10">
        <f t="shared" si="3"/>
        <v>6.0792669999999998</v>
      </c>
      <c r="M26" s="10">
        <f t="shared" si="4"/>
        <v>0.4905999999999997</v>
      </c>
    </row>
    <row r="27" spans="1:13" ht="33" customHeight="1">
      <c r="A27" s="7">
        <v>26</v>
      </c>
      <c r="B27" s="8" t="s">
        <v>35</v>
      </c>
      <c r="C27" s="7">
        <v>210</v>
      </c>
      <c r="D27" s="9">
        <v>35</v>
      </c>
      <c r="E27" s="9">
        <v>4</v>
      </c>
      <c r="F27" s="10">
        <f t="shared" si="0"/>
        <v>3.8378399999999999</v>
      </c>
      <c r="G27" s="10">
        <v>4</v>
      </c>
      <c r="H27" s="11">
        <f t="shared" si="1"/>
        <v>0.95945999999999998</v>
      </c>
      <c r="I27" s="10">
        <f t="shared" si="2"/>
        <v>-0.16216000000000008</v>
      </c>
      <c r="J27" s="10">
        <v>270</v>
      </c>
      <c r="K27" s="10">
        <v>35</v>
      </c>
      <c r="L27" s="10">
        <f t="shared" si="3"/>
        <v>4.0003799999999998</v>
      </c>
      <c r="M27" s="10">
        <f t="shared" si="4"/>
        <v>0.16253999999999991</v>
      </c>
    </row>
    <row r="28" spans="1:13" ht="33" customHeight="1">
      <c r="A28" s="7">
        <v>27</v>
      </c>
      <c r="B28" s="8" t="s">
        <v>36</v>
      </c>
      <c r="C28" s="7">
        <v>277</v>
      </c>
      <c r="D28" s="9">
        <v>80</v>
      </c>
      <c r="E28" s="9">
        <v>8</v>
      </c>
      <c r="F28" s="10">
        <f t="shared" si="0"/>
        <v>6.4842630000000003</v>
      </c>
      <c r="G28" s="10">
        <v>7</v>
      </c>
      <c r="H28" s="11">
        <f t="shared" si="1"/>
        <v>0.81053287500000004</v>
      </c>
      <c r="I28" s="10">
        <f t="shared" si="2"/>
        <v>-1.5157369999999997</v>
      </c>
      <c r="J28" s="10">
        <v>377</v>
      </c>
      <c r="K28" s="10">
        <v>80</v>
      </c>
      <c r="L28" s="10">
        <f t="shared" si="3"/>
        <v>6.7551630000000005</v>
      </c>
      <c r="M28" s="10">
        <f t="shared" si="4"/>
        <v>0.27090000000000014</v>
      </c>
    </row>
    <row r="29" spans="1:13" ht="33" customHeight="1">
      <c r="A29" s="7">
        <v>28</v>
      </c>
      <c r="B29" s="8" t="s">
        <v>37</v>
      </c>
      <c r="C29" s="7">
        <v>2880</v>
      </c>
      <c r="D29" s="9">
        <v>20</v>
      </c>
      <c r="E29" s="9">
        <v>5</v>
      </c>
      <c r="F29" s="10">
        <f t="shared" si="0"/>
        <v>10.249230000000001</v>
      </c>
      <c r="G29" s="10">
        <v>4</v>
      </c>
      <c r="H29" s="11">
        <f t="shared" si="1"/>
        <v>0.48784152565607364</v>
      </c>
      <c r="I29" s="10">
        <f t="shared" si="2"/>
        <v>5.2492300000000007</v>
      </c>
      <c r="J29" s="10">
        <v>2880</v>
      </c>
      <c r="K29" s="10">
        <v>35</v>
      </c>
      <c r="L29" s="10">
        <f t="shared" si="3"/>
        <v>11.070869999999999</v>
      </c>
      <c r="M29" s="10">
        <f t="shared" si="4"/>
        <v>0.82163999999999859</v>
      </c>
    </row>
    <row r="30" spans="1:13" ht="33" customHeight="1">
      <c r="A30" s="7">
        <v>29</v>
      </c>
      <c r="B30" s="8" t="s">
        <v>38</v>
      </c>
      <c r="C30" s="7">
        <v>376</v>
      </c>
      <c r="D30" s="9">
        <v>86</v>
      </c>
      <c r="E30" s="9">
        <v>11</v>
      </c>
      <c r="F30" s="10">
        <f t="shared" si="0"/>
        <v>7.0811099999999998</v>
      </c>
      <c r="G30" s="10">
        <v>8</v>
      </c>
      <c r="H30" s="11">
        <f t="shared" si="1"/>
        <v>0.64373727272727266</v>
      </c>
      <c r="I30" s="10">
        <f t="shared" si="2"/>
        <v>-3.9188900000000002</v>
      </c>
      <c r="J30" s="10">
        <v>376</v>
      </c>
      <c r="K30" s="10">
        <v>86</v>
      </c>
      <c r="L30" s="10">
        <f t="shared" si="3"/>
        <v>7.0811099999999998</v>
      </c>
      <c r="M30" s="10">
        <f t="shared" si="4"/>
        <v>0</v>
      </c>
    </row>
    <row r="31" spans="1:13" ht="33" customHeight="1">
      <c r="A31" s="7"/>
      <c r="B31" s="8"/>
      <c r="C31" s="7"/>
      <c r="D31" s="9"/>
      <c r="E31" s="9">
        <f>SUM(E2:E30)</f>
        <v>310</v>
      </c>
      <c r="F31" s="10">
        <f>SUM(F2:F30)</f>
        <v>311.76693</v>
      </c>
      <c r="G31" s="10">
        <f>SUM(G2:G30)</f>
        <v>316</v>
      </c>
      <c r="H31" s="11"/>
      <c r="I31" s="10"/>
      <c r="J31" s="10"/>
      <c r="K31" s="10"/>
      <c r="L31" s="10">
        <f>SUM(L2:L30)</f>
        <v>341.82599300000004</v>
      </c>
      <c r="M31" s="10">
        <f t="shared" si="4"/>
        <v>30.059063000000037</v>
      </c>
    </row>
    <row r="32" spans="1:13">
      <c r="B32" s="13" t="s">
        <v>39</v>
      </c>
      <c r="F32" s="14"/>
      <c r="G32" s="14"/>
      <c r="I32" s="14"/>
      <c r="J32" s="14"/>
      <c r="K32" s="14"/>
      <c r="M32" s="14"/>
    </row>
    <row r="33" spans="2:13">
      <c r="B33" s="8" t="s">
        <v>40</v>
      </c>
      <c r="M33" s="14"/>
    </row>
    <row r="34" spans="2:13">
      <c r="B34" s="8" t="s">
        <v>41</v>
      </c>
      <c r="M34" s="14"/>
    </row>
    <row r="35" spans="2:13">
      <c r="B35" s="8" t="s">
        <v>42</v>
      </c>
      <c r="M35" s="14"/>
    </row>
    <row r="36" spans="2:13">
      <c r="B36" s="8" t="s">
        <v>43</v>
      </c>
      <c r="M36" s="14"/>
    </row>
    <row r="37" spans="2:13">
      <c r="B37" s="8" t="s">
        <v>44</v>
      </c>
      <c r="M37" s="14"/>
    </row>
    <row r="38" spans="2:13">
      <c r="B38" s="8" t="s">
        <v>45</v>
      </c>
      <c r="M38" s="14"/>
    </row>
    <row r="39" spans="2:13">
      <c r="B39" s="8" t="s">
        <v>46</v>
      </c>
      <c r="M39" s="14"/>
    </row>
    <row r="40" spans="2:13">
      <c r="B40" s="8" t="s">
        <v>47</v>
      </c>
      <c r="M40" s="14"/>
    </row>
    <row r="41" spans="2:13">
      <c r="B41" s="8" t="s">
        <v>48</v>
      </c>
      <c r="M41" s="14"/>
    </row>
    <row r="42" spans="2:13">
      <c r="B42" s="8" t="s">
        <v>49</v>
      </c>
      <c r="M42" s="14"/>
    </row>
    <row r="43" spans="2:13">
      <c r="B43" s="8" t="s">
        <v>50</v>
      </c>
      <c r="M43" s="14"/>
    </row>
    <row r="44" spans="2:13">
      <c r="B44" s="8" t="s">
        <v>51</v>
      </c>
      <c r="M44" s="14"/>
    </row>
  </sheetData>
  <autoFilter ref="A1:L44" xr:uid="{00000000-0009-0000-0000-000001000000}">
    <sortState xmlns:xlrd2="http://schemas.microsoft.com/office/spreadsheetml/2017/richdata2" ref="A2:L44">
      <sortCondition ref="A1"/>
    </sortState>
  </autoFilter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不含组织员</vt:lpstr>
      <vt:lpstr>含组织员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zzb20180907</dc:creator>
  <cp:lastModifiedBy>高弘 龙</cp:lastModifiedBy>
  <dcterms:created xsi:type="dcterms:W3CDTF">2026-05-18T01:25:00Z</dcterms:created>
  <dcterms:modified xsi:type="dcterms:W3CDTF">2026-06-19T10:57:06Z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B181AD1F2DC242D4A572C01A69A0B1DE_13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